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defaultThemeVersion="124226"/>
  <xr:revisionPtr revIDLastSave="0" documentId="13_ncr:1_{83AE1EA4-002B-473F-A734-570D8CDD9C50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view-Checkpoints" sheetId="38" r:id="rId1"/>
    <sheet name="Part VIII - Revenue" sheetId="1" r:id="rId2"/>
    <sheet name="Part IX - Expenses" sheetId="2" r:id="rId3"/>
    <sheet name="Part X - Balance Sheet" sheetId="3" r:id="rId4"/>
    <sheet name="Part XI - Net Asset Recon." sheetId="4" r:id="rId5"/>
    <sheet name="Queries" sheetId="32" state="hidden" r:id="rId6"/>
    <sheet name="TB Mapping " sheetId="39" r:id="rId7"/>
    <sheet name="Function Exp" sheetId="40" r:id="rId8"/>
    <sheet name="SOR" sheetId="26" r:id="rId9"/>
    <sheet name="SOFE" sheetId="31" r:id="rId10"/>
    <sheet name="Compensation" sheetId="30" r:id="rId11"/>
    <sheet name="CA Rollforward" sheetId="37" r:id="rId12"/>
    <sheet name="SOFP" sheetId="27" r:id="rId13"/>
  </sheets>
  <definedNames>
    <definedName name="_xlnm._FilterDatabase" localSheetId="7" hidden="1">'Function Exp'!$A$2:$DC$70</definedName>
    <definedName name="_xlnm._FilterDatabase" localSheetId="9" hidden="1">SOFE!$A$3:$L$67</definedName>
    <definedName name="_xlnm._FilterDatabase" localSheetId="12" hidden="1">SOFP!$B$2:$F$97</definedName>
    <definedName name="_xlnm._FilterDatabase" localSheetId="8" hidden="1">SOR!$A$3:$B$95</definedName>
    <definedName name="_xlnm._FilterDatabase" localSheetId="6" hidden="1">'TB Mapping '!$A$3:$H$205</definedName>
    <definedName name="Beginning">#REF!</definedName>
    <definedName name="BudgetPercentage">#REF!</definedName>
    <definedName name="BudgetThreshold">#REF!</definedName>
    <definedName name="Client">#REF!</definedName>
    <definedName name="Current">#REF!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3">'Part X - Balance Sheet'!$A$1:$E$42</definedName>
    <definedName name="_xlnm.Print_Titles" localSheetId="12">SOFP!$1:$2</definedName>
    <definedName name="_xlnm.Print_Titles" localSheetId="8">SOR!$3:$3</definedName>
    <definedName name="QB_COLUMN_152300" localSheetId="7" hidden="1">'Function Exp'!$CA$1</definedName>
    <definedName name="QB_COLUMN_152301" localSheetId="7" hidden="1">'Function Exp'!$CA$2</definedName>
    <definedName name="QB_COLUMN_202400" localSheetId="7" hidden="1">'Function Exp'!$AO$1</definedName>
    <definedName name="QB_COLUMN_202401" localSheetId="7" hidden="1">'Function Exp'!$AO$2</definedName>
    <definedName name="QB_COLUMN_203300" localSheetId="7" hidden="1">'Function Exp'!$AQ$1</definedName>
    <definedName name="QB_COLUMN_203301" localSheetId="7" hidden="1">'Function Exp'!$AQ$2</definedName>
    <definedName name="QB_COLUMN_29" localSheetId="8" hidden="1">SOR!#REF!</definedName>
    <definedName name="QB_COLUMN_363300" localSheetId="7" hidden="1">'Function Exp'!$CM$1</definedName>
    <definedName name="QB_COLUMN_363301" localSheetId="7" hidden="1">'Function Exp'!$CM$2</definedName>
    <definedName name="QB_COLUMN_372400" localSheetId="7" hidden="1">'Function Exp'!$CK$1</definedName>
    <definedName name="QB_COLUMN_372401" localSheetId="7" hidden="1">'Function Exp'!$CK$2</definedName>
    <definedName name="QB_COLUMN_382400" localSheetId="7" hidden="1">'Function Exp'!$CG$1</definedName>
    <definedName name="QB_COLUMN_382401" localSheetId="7" hidden="1">'Function Exp'!$CG$2</definedName>
    <definedName name="QB_COLUMN_402300" localSheetId="7" hidden="1">'Function Exp'!$BS$1</definedName>
    <definedName name="QB_COLUMN_402301" localSheetId="7" hidden="1">'Function Exp'!$BS$2</definedName>
    <definedName name="QB_COLUMN_422200" localSheetId="7" hidden="1">'Function Exp'!$K$1</definedName>
    <definedName name="QB_COLUMN_422201" localSheetId="7" hidden="1">'Function Exp'!$K$2</definedName>
    <definedName name="QB_COLUMN_423011" localSheetId="7" hidden="1">'Function Exp'!$CY$2</definedName>
    <definedName name="QB_COLUMN_423101" localSheetId="7" hidden="1">'Function Exp'!$M$2</definedName>
    <definedName name="QB_COLUMN_432300" localSheetId="7" hidden="1">'Function Exp'!$BQ$1</definedName>
    <definedName name="QB_COLUMN_432301" localSheetId="7" hidden="1">'Function Exp'!$BQ$2</definedName>
    <definedName name="QB_COLUMN_442400" localSheetId="7" hidden="1">'Function Exp'!$BK$1</definedName>
    <definedName name="QB_COLUMN_442401" localSheetId="7" hidden="1">'Function Exp'!$BK$2</definedName>
    <definedName name="QB_COLUMN_443300" localSheetId="7" hidden="1">'Function Exp'!$BM$1</definedName>
    <definedName name="QB_COLUMN_443301" localSheetId="7" hidden="1">'Function Exp'!$BM$2</definedName>
    <definedName name="QB_COLUMN_452111" localSheetId="7" hidden="1">'Function Exp'!$CW$2</definedName>
    <definedName name="QB_COLUMN_452400" localSheetId="7" hidden="1">'Function Exp'!$AW$1</definedName>
    <definedName name="QB_COLUMN_452401" localSheetId="7" hidden="1">'Function Exp'!$AW$2</definedName>
    <definedName name="QB_COLUMN_473400" localSheetId="7" hidden="1">'Function Exp'!$BE$1</definedName>
    <definedName name="QB_COLUMN_473401" localSheetId="7" hidden="1">'Function Exp'!$BE$2</definedName>
    <definedName name="QB_COLUMN_482400" localSheetId="7" hidden="1">'Function Exp'!$AA$1</definedName>
    <definedName name="QB_COLUMN_482401" localSheetId="7" hidden="1">'Function Exp'!$AA$2</definedName>
    <definedName name="QB_COLUMN_492400" localSheetId="7" hidden="1">'Function Exp'!$CI$1</definedName>
    <definedName name="QB_COLUMN_492401" localSheetId="7" hidden="1">'Function Exp'!$CI$2</definedName>
    <definedName name="QB_COLUMN_502300" localSheetId="7" hidden="1">'Function Exp'!$BW$1</definedName>
    <definedName name="QB_COLUMN_502301" localSheetId="7" hidden="1">'Function Exp'!$BW$2</definedName>
    <definedName name="QB_COLUMN_522400" localSheetId="7" hidden="1">'Function Exp'!$AE$1</definedName>
    <definedName name="QB_COLUMN_522401" localSheetId="7" hidden="1">'Function Exp'!$AE$2</definedName>
    <definedName name="QB_COLUMN_542400" localSheetId="7" hidden="1">'Function Exp'!$BA$1</definedName>
    <definedName name="QB_COLUMN_542401" localSheetId="7" hidden="1">'Function Exp'!$BA$2</definedName>
    <definedName name="QB_COLUMN_59200" localSheetId="12" hidden="1">SOFP!$D$2</definedName>
    <definedName name="QB_COLUMN_60210" localSheetId="12" hidden="1">SOFP!#REF!</definedName>
    <definedName name="QB_COLUMN_613101" localSheetId="7" hidden="1">'Function Exp'!$CU$2</definedName>
    <definedName name="QB_COLUMN_623200" localSheetId="7" hidden="1">'Function Exp'!$CS$1</definedName>
    <definedName name="QB_COLUMN_623201" localSheetId="7" hidden="1">'Function Exp'!$CS$2</definedName>
    <definedName name="QB_COLUMN_633200" localSheetId="7" hidden="1">'Function Exp'!$BO$1</definedName>
    <definedName name="QB_COLUMN_633201" localSheetId="7" hidden="1">'Function Exp'!$BO$2</definedName>
    <definedName name="QB_COLUMN_643300" localSheetId="7" hidden="1">'Function Exp'!$AG$1</definedName>
    <definedName name="QB_COLUMN_643301" localSheetId="7" hidden="1">'Function Exp'!$AG$2</definedName>
    <definedName name="QB_COLUMN_672300" localSheetId="7" hidden="1">'Function Exp'!$BY$1</definedName>
    <definedName name="QB_COLUMN_672301" localSheetId="7" hidden="1">'Function Exp'!$BY$2</definedName>
    <definedName name="QB_COLUMN_713400" localSheetId="7" hidden="1">'Function Exp'!$BG$1</definedName>
    <definedName name="QB_COLUMN_713401" localSheetId="7" hidden="1">'Function Exp'!$BG$2</definedName>
    <definedName name="QB_COLUMN_722300" localSheetId="7" hidden="1">'Function Exp'!$AS$1</definedName>
    <definedName name="QB_COLUMN_722301" localSheetId="7" hidden="1">'Function Exp'!$AS$2</definedName>
    <definedName name="QB_COLUMN_742300" localSheetId="7" hidden="1">'Function Exp'!$BU$1</definedName>
    <definedName name="QB_COLUMN_742301" localSheetId="7" hidden="1">'Function Exp'!$BU$2</definedName>
    <definedName name="QB_COLUMN_752300" localSheetId="7" hidden="1">'Function Exp'!$Y$1</definedName>
    <definedName name="QB_COLUMN_752301" localSheetId="7" hidden="1">'Function Exp'!$Y$2</definedName>
    <definedName name="QB_COLUMN_772400" localSheetId="7" hidden="1">'Function Exp'!$BC$1</definedName>
    <definedName name="QB_COLUMN_772401" localSheetId="7" hidden="1">'Function Exp'!$BC$2</definedName>
    <definedName name="QB_COLUMN_802300" localSheetId="7" hidden="1">'Function Exp'!$W$1</definedName>
    <definedName name="QB_COLUMN_802301" localSheetId="7" hidden="1">'Function Exp'!$W$2</definedName>
    <definedName name="QB_COLUMN_812400" localSheetId="7" hidden="1">'Function Exp'!$CE$1</definedName>
    <definedName name="QB_COLUMN_812401" localSheetId="7" hidden="1">'Function Exp'!$CE$2</definedName>
    <definedName name="QB_COLUMN_82200" localSheetId="7" hidden="1">'Function Exp'!$S$1</definedName>
    <definedName name="QB_COLUMN_82201" localSheetId="7" hidden="1">'Function Exp'!$S$2</definedName>
    <definedName name="QB_COLUMN_822300" localSheetId="7" hidden="1">'Function Exp'!$CC$1</definedName>
    <definedName name="QB_COLUMN_822301" localSheetId="7" hidden="1">'Function Exp'!$CC$2</definedName>
    <definedName name="QB_COLUMN_83101" localSheetId="7" hidden="1">'Function Exp'!$U$2</definedName>
    <definedName name="QB_COLUMN_832300" localSheetId="7" hidden="1">'Function Exp'!$CO$1</definedName>
    <definedName name="QB_COLUMN_832301" localSheetId="7" hidden="1">'Function Exp'!$CO$2</definedName>
    <definedName name="QB_COLUMN_842400" localSheetId="7" hidden="1">'Function Exp'!$AY$1</definedName>
    <definedName name="QB_COLUMN_842401" localSheetId="7" hidden="1">'Function Exp'!$AY$2</definedName>
    <definedName name="QB_COLUMN_852400" localSheetId="7" hidden="1">'Function Exp'!$AU$1</definedName>
    <definedName name="QB_COLUMN_852401" localSheetId="7" hidden="1">'Function Exp'!$AU$2</definedName>
    <definedName name="QB_COLUMN_862200" localSheetId="7" hidden="1">'Function Exp'!$O$1</definedName>
    <definedName name="QB_COLUMN_862201" localSheetId="7" hidden="1">'Function Exp'!$O$2</definedName>
    <definedName name="QB_COLUMN_872200" localSheetId="7" hidden="1">'Function Exp'!$I$1</definedName>
    <definedName name="QB_COLUMN_872201" localSheetId="7" hidden="1">'Function Exp'!$I$2</definedName>
    <definedName name="QB_COLUMN_882400" localSheetId="7" hidden="1">'Function Exp'!$BI$1</definedName>
    <definedName name="QB_COLUMN_882401" localSheetId="7" hidden="1">'Function Exp'!$BI$2</definedName>
    <definedName name="QB_COLUMN_902300" localSheetId="7" hidden="1">'Function Exp'!$CQ$1</definedName>
    <definedName name="QB_COLUMN_902301" localSheetId="7" hidden="1">'Function Exp'!$CQ$2</definedName>
    <definedName name="QB_COLUMN_912400" localSheetId="7" hidden="1">'Function Exp'!$AM$1</definedName>
    <definedName name="QB_COLUMN_912401" localSheetId="7" hidden="1">'Function Exp'!$AM$2</definedName>
    <definedName name="QB_COLUMN_922400" localSheetId="7" hidden="1">'Function Exp'!$AI$1</definedName>
    <definedName name="QB_COLUMN_922401" localSheetId="7" hidden="1">'Function Exp'!$AI$2</definedName>
    <definedName name="QB_COLUMN_932400" localSheetId="7" hidden="1">'Function Exp'!$AC$1</definedName>
    <definedName name="QB_COLUMN_932401" localSheetId="7" hidden="1">'Function Exp'!$AC$2</definedName>
    <definedName name="QB_COLUMN_942400" localSheetId="7" hidden="1">'Function Exp'!$AK$1</definedName>
    <definedName name="QB_COLUMN_942401" localSheetId="7" hidden="1">'Function Exp'!$AK$2</definedName>
    <definedName name="QB_COLUMN_992200" localSheetId="7" hidden="1">'Function Exp'!$Q$1</definedName>
    <definedName name="QB_COLUMN_992201" localSheetId="7" hidden="1">'Function Exp'!$Q$2</definedName>
    <definedName name="QB_DATA_0" localSheetId="7" hidden="1">'Function Exp'!$5:$5,'Function Exp'!$6:$6,'Function Exp'!$7:$7,'Function Exp'!$8:$8,'Function Exp'!$9:$9,'Function Exp'!$10:$10,'Function Exp'!$11:$11,'Function Exp'!$15:$15,'Function Exp'!$16:$16,'Function Exp'!$17:$17,'Function Exp'!$22:$22,'Function Exp'!$25:$25</definedName>
    <definedName name="QB_DATA_0" localSheetId="12" hidden="1">SOFP!$4:$4,SOFP!$5:$5,SOFP!$6:$6,SOFP!$7:$7,SOFP!$10:$10,SOFP!#REF!,SOFP!$15:$15,SOFP!$16:$16,SOFP!$25:$25,SOFP!$26:$26,SOFP!$29:$29,SOFP!$38:$38,SOFP!$39:$39,SOFP!$40:$40,SOFP!$41:$41,SOFP!$42:$42</definedName>
    <definedName name="QB_DATA_0" localSheetId="8" hidden="1">SOR!$12:$12,SOR!$13:$13,SOR!$14:$14,SOR!$15:$15,SOR!$17:$17,SOR!#REF!,SOR!$24:$24,SOR!$25:$25,SOR!$29:$29,SOR!$36:$36,SOR!$38:$38,SOR!$39:$39,SOR!$40:$40,SOR!$41:$41,SOR!$42:$42,SOR!$43:$43</definedName>
    <definedName name="QB_DATA_1" localSheetId="12" hidden="1">SOFP!$43:$43,SOFP!$44:$44,SOFP!$46:$46,SOFP!$48:$48,SOFP!$49:$49,SOFP!$53:$53,SOFP!$54:$54,SOFP!$56:$56,SOFP!$57:$57,SOFP!$61:$61,SOFP!$62:$62,SOFP!$63:$63,SOFP!$66:$66,SOFP!$67:$67,SOFP!$72:$72,SOFP!$75:$75</definedName>
    <definedName name="QB_DATA_1" localSheetId="8" hidden="1">SOR!$47:$47,SOR!$48:$48,SOR!$49:$49,SOR!$50:$50,SOR!$56:$56,SOR!$57:$57,SOR!$58:$58,SOR!$59:$59,SOR!$60:$60,SOR!$61:$61,SOR!$62:$62,SOR!$63:$63,SOR!$64:$64,SOR!$65:$65,SOR!$68:$68,SOR!$69:$69</definedName>
    <definedName name="QB_DATA_2" localSheetId="12" hidden="1">SOFP!$78:$78,SOFP!$79:$79,SOFP!$80:$80,SOFP!$81:$81,SOFP!$82:$82,SOFP!$83:$83,SOFP!$84:$84,SOFP!$85:$85,SOFP!$86:$86,SOFP!$91:$91,SOFP!$92:$92,SOFP!$93:$93,SOFP!$94:$94,SOFP!$95:$95</definedName>
    <definedName name="QB_DATA_2" localSheetId="8" hidden="1">SOR!$70:$70,SOR!$73:$73,SOR!$74:$74,SOR!$75:$75,SOR!$76:$76,SOR!$77:$77,SOR!$78:$78,SOR!$79:$79,SOR!$80:$80,SOR!$81:$81,SOR!$84:$84,SOR!$85:$85,SOR!$88:$88,SOR!$89:$89,SOR!$90:$90,SOR!$91:$91</definedName>
    <definedName name="QB_FORMULA_0" localSheetId="7" hidden="1">'Function Exp'!$M$5,'Function Exp'!$U$5,'Function Exp'!$AG$5,'Function Exp'!$AQ$5,'Function Exp'!$BM$5,'Function Exp'!$BO$5,'Function Exp'!$CM$5,'Function Exp'!$CS$5,'Function Exp'!$CU$5,'Function Exp'!$CY$5,'Function Exp'!$M$6,'Function Exp'!$U$6,'Function Exp'!$AG$6,'Function Exp'!$AQ$6,'Function Exp'!$BM$6,'Function Exp'!$BO$6</definedName>
    <definedName name="QB_FORMULA_0" localSheetId="12" hidden="1">SOFP!$D$9,SOFP!#REF!,SOFP!$D$19,SOFP!$D$48,SOFP!#REF!,SOFP!$D$49,SOFP!#REF!,SOFP!#REF!,SOFP!$D$21,SOFP!#REF!,SOFP!$D$27,SOFP!#REF!,SOFP!$D$32,SOFP!#REF!,SOFP!#REF!,SOFP!#REF!</definedName>
    <definedName name="QB_FORMULA_0" localSheetId="8" hidden="1">SOR!#REF!,SOR!#REF!,SOR!#REF!,SOR!#REF!,SOR!#REF!,SOR!#REF!,SOR!#REF!,SOR!#REF!,SOR!#REF!,SOR!#REF!,SOR!#REF!,SOR!#REF!,SOR!#REF!,SOR!#REF!,SOR!#REF!,SOR!#REF!</definedName>
    <definedName name="QB_FORMULA_1" localSheetId="7" hidden="1">'Function Exp'!$CM$6,'Function Exp'!$CS$6,'Function Exp'!$CU$6,'Function Exp'!$CY$6,'Function Exp'!$M$7,'Function Exp'!$U$7,'Function Exp'!$AG$7,'Function Exp'!$AQ$7,'Function Exp'!$BM$7,'Function Exp'!$BO$7,'Function Exp'!$CM$7,'Function Exp'!$CS$7,'Function Exp'!$CU$7,'Function Exp'!$CY$7,'Function Exp'!$M$8,'Function Exp'!$U$8</definedName>
    <definedName name="QB_FORMULA_1" localSheetId="12" hidden="1">SOFP!$D$50,SOFP!#REF!,SOFP!$D$55,SOFP!#REF!,SOFP!$D$58,SOFP!#REF!,SOFP!$D$68,SOFP!#REF!,SOFP!$D$69,SOFP!#REF!,SOFP!$D$71,SOFP!#REF!,SOFP!$D$73,SOFP!#REF!,SOFP!$D$76,SOFP!#REF!</definedName>
    <definedName name="QB_FORMULA_1" localSheetId="8" hidden="1">SOR!#REF!,SOR!#REF!,SOR!#REF!,SOR!#REF!,SOR!#REF!,SOR!#REF!</definedName>
    <definedName name="QB_FORMULA_10" localSheetId="7" hidden="1">'Function Exp'!$CO$13,'Function Exp'!$CQ$13,'Function Exp'!$CS$13,'Function Exp'!$CU$13,'Function Exp'!$CW$13,'Function Exp'!$CY$13,'Function Exp'!$M$15,'Function Exp'!$U$15,'Function Exp'!$AG$15,'Function Exp'!$AQ$15,'Function Exp'!$BM$15,'Function Exp'!$BO$15,'Function Exp'!$CM$15,'Function Exp'!$CS$15,'Function Exp'!$CU$15,'Function Exp'!$CY$15</definedName>
    <definedName name="QB_FORMULA_10_1" localSheetId="7" hidden="1">'Function Exp'!$CO$13,'Function Exp'!$CQ$13,'Function Exp'!$CS$13,'Function Exp'!$CU$13,'Function Exp'!$CW$13,'Function Exp'!$CY$13,'Function Exp'!$M$16,'Function Exp'!$U$16,'Function Exp'!$AG$16,'Function Exp'!$AQ$16,'Function Exp'!$BM$16,'Function Exp'!$BO$16,'Function Exp'!$CM$16,'Function Exp'!$CS$16,'Function Exp'!$CU$16,'Function Exp'!$CY$16</definedName>
    <definedName name="QB_FORMULA_11" localSheetId="7" hidden="1">'Function Exp'!$M$16,'Function Exp'!$U$16,'Function Exp'!$AG$16,'Function Exp'!$AQ$16,'Function Exp'!$BM$16,'Function Exp'!$BO$16,'Function Exp'!$CM$16,'Function Exp'!$CS$16,'Function Exp'!$CU$16,'Function Exp'!$CY$16,'Function Exp'!$M$17,'Function Exp'!$U$17,'Function Exp'!$AG$17,'Function Exp'!$AQ$17,'Function Exp'!$BM$17,'Function Exp'!$BO$17</definedName>
    <definedName name="QB_FORMULA_11_1" localSheetId="7" hidden="1">'Function Exp'!$I$17,'Function Exp'!$K$17,'Function Exp'!$M$17,'Function Exp'!$O$17,'Function Exp'!$Q$17,'Function Exp'!$S$17,'Function Exp'!$U$17,'Function Exp'!$W$17,'Function Exp'!$Y$17,'Function Exp'!$AA$17,'Function Exp'!$AC$17,'Function Exp'!$AE$17,'Function Exp'!$AG$17,'Function Exp'!$AI$17,'Function Exp'!$AK$17,'Function Exp'!$AM$17</definedName>
    <definedName name="QB_FORMULA_12" localSheetId="7" hidden="1">'Function Exp'!$CM$17,'Function Exp'!$CS$17,'Function Exp'!$CU$17,'Function Exp'!$CY$17,'Function Exp'!$I$18,'Function Exp'!$K$18,'Function Exp'!$M$18,'Function Exp'!$O$18,'Function Exp'!$Q$18,'Function Exp'!$S$18,'Function Exp'!$U$18,'Function Exp'!$W$18,'Function Exp'!$Y$18,'Function Exp'!$AA$18,'Function Exp'!$AC$18,'Function Exp'!$AE$18</definedName>
    <definedName name="QB_FORMULA_12_1" localSheetId="7" hidden="1">'Function Exp'!$AO$17,'Function Exp'!$AQ$17,'Function Exp'!$AS$17,'Function Exp'!$AU$17,'Function Exp'!$AW$17,'Function Exp'!$AY$17,'Function Exp'!$BA$17,'Function Exp'!$BC$17,'Function Exp'!$BE$17,'Function Exp'!$BG$17,'Function Exp'!$BI$17,'Function Exp'!$BK$17,'Function Exp'!$BM$17,'Function Exp'!$BO$17,'Function Exp'!$BQ$17,'Function Exp'!$BS$17</definedName>
    <definedName name="QB_FORMULA_13" localSheetId="7" hidden="1">'Function Exp'!$AG$18,'Function Exp'!$AI$18,'Function Exp'!$AK$18,'Function Exp'!$AM$18,'Function Exp'!$AO$18,'Function Exp'!$AQ$18,'Function Exp'!$AS$18,'Function Exp'!$AU$18,'Function Exp'!$AW$18,'Function Exp'!$AY$18,'Function Exp'!$BA$18,'Function Exp'!$BC$18,'Function Exp'!$BE$18,'Function Exp'!$BG$18,'Function Exp'!$BI$18,'Function Exp'!$BK$18</definedName>
    <definedName name="QB_FORMULA_13_1" localSheetId="7" hidden="1">'Function Exp'!$BU$17,'Function Exp'!$BW$17,'Function Exp'!$BY$17,'Function Exp'!$CA$17,'Function Exp'!$CC$17,'Function Exp'!$CE$17,'Function Exp'!$CG$17,'Function Exp'!$CI$17,'Function Exp'!$CK$17,'Function Exp'!$CM$17,'Function Exp'!$CO$17,'Function Exp'!$CQ$17,'Function Exp'!$CS$17,'Function Exp'!$CU$17,'Function Exp'!$CW$17,'Function Exp'!$CY$17</definedName>
    <definedName name="QB_FORMULA_14" localSheetId="7" hidden="1">'Function Exp'!$BM$18,'Function Exp'!$BO$18,'Function Exp'!$BQ$18,'Function Exp'!$BS$18,'Function Exp'!$BU$18,'Function Exp'!$BW$18,'Function Exp'!$BY$18,'Function Exp'!$CA$18,'Function Exp'!$CC$18,'Function Exp'!$CE$18,'Function Exp'!$CG$18,'Function Exp'!$CI$18,'Function Exp'!$CK$18,'Function Exp'!$CM$18,'Function Exp'!$CO$18,'Function Exp'!$CQ$18</definedName>
    <definedName name="QB_FORMULA_14_1" localSheetId="7" hidden="1">'Function Exp'!$M$20,'Function Exp'!$U$20,'Function Exp'!$AG$20,'Function Exp'!$AQ$20,'Function Exp'!$BM$20,'Function Exp'!$BO$20,'Function Exp'!$CM$20,'Function Exp'!$CS$20,'Function Exp'!$CU$20,'Function Exp'!$CY$20,'Function Exp'!$M$21,'Function Exp'!$U$21,'Function Exp'!$AG$21,'Function Exp'!$AQ$21,'Function Exp'!$BM$21,'Function Exp'!$BO$21</definedName>
    <definedName name="QB_FORMULA_15" localSheetId="7" hidden="1">'Function Exp'!$CS$18,'Function Exp'!$CU$18,'Function Exp'!$CW$18,'Function Exp'!$CY$18,'Function Exp'!$I$19,'Function Exp'!$K$19,'Function Exp'!$M$19,'Function Exp'!$O$19,'Function Exp'!$Q$19,'Function Exp'!$S$19,'Function Exp'!$U$19,'Function Exp'!$W$19,'Function Exp'!$Y$19,'Function Exp'!$AA$19,'Function Exp'!$AC$19,'Function Exp'!$AE$19</definedName>
    <definedName name="QB_FORMULA_15_1" localSheetId="7" hidden="1">'Function Exp'!$CM$21,'Function Exp'!$CS$21,'Function Exp'!$CU$21,'Function Exp'!$CY$21,'Function Exp'!$M$22,'Function Exp'!$U$22,'Function Exp'!$AG$22,'Function Exp'!$AQ$22,'Function Exp'!$BM$22,'Function Exp'!$BO$22,'Function Exp'!$CM$22,'Function Exp'!$CS$22,'Function Exp'!$CU$22,'Function Exp'!$CY$22,'Function Exp'!$M$24,'Function Exp'!$U$24</definedName>
    <definedName name="QB_FORMULA_16" localSheetId="7" hidden="1">'Function Exp'!$AG$19,'Function Exp'!$AI$19,'Function Exp'!$AK$19,'Function Exp'!$AM$19,'Function Exp'!$AO$19,'Function Exp'!$AQ$19,'Function Exp'!$AS$19,'Function Exp'!$AU$19,'Function Exp'!$AW$19,'Function Exp'!$AY$19,'Function Exp'!$BA$19,'Function Exp'!$BC$19,'Function Exp'!$BE$19,'Function Exp'!$BG$19,'Function Exp'!$BI$19,'Function Exp'!$BK$19</definedName>
    <definedName name="QB_FORMULA_16_1" localSheetId="7" hidden="1">'Function Exp'!$AG$24,'Function Exp'!$AQ$24,'Function Exp'!$BM$24,'Function Exp'!$BO$24,'Function Exp'!$CM$24,'Function Exp'!$CS$24,'Function Exp'!$CU$24,'Function Exp'!$CY$24,'Function Exp'!$M$25,'Function Exp'!$U$25,'Function Exp'!$AG$25,'Function Exp'!$AQ$25,'Function Exp'!$BM$25,'Function Exp'!$BO$25,'Function Exp'!$CM$25,'Function Exp'!$CS$25</definedName>
    <definedName name="QB_FORMULA_17" localSheetId="7" hidden="1">'Function Exp'!$BM$19,'Function Exp'!$BO$19,'Function Exp'!$BQ$19,'Function Exp'!$BS$19,'Function Exp'!$BU$19,'Function Exp'!$BW$19,'Function Exp'!$BY$19,'Function Exp'!$CA$19,'Function Exp'!$CC$19,'Function Exp'!$CE$19,'Function Exp'!$CG$19,'Function Exp'!$CI$19,'Function Exp'!$CK$19,'Function Exp'!$CM$19,'Function Exp'!$CO$19,'Function Exp'!$CQ$19</definedName>
    <definedName name="QB_FORMULA_17_1" localSheetId="7" hidden="1">'Function Exp'!$CU$25,'Function Exp'!$CY$25,'Function Exp'!$M$26,'Function Exp'!$U$26,'Function Exp'!$AG$26,'Function Exp'!$AQ$26,'Function Exp'!$BM$26,'Function Exp'!$BO$26,'Function Exp'!$CM$26,'Function Exp'!$CS$26,'Function Exp'!$CU$26,'Function Exp'!$CY$26,'Function Exp'!$I$27,'Function Exp'!$K$27,'Function Exp'!$M$27,'Function Exp'!$O$27</definedName>
    <definedName name="QB_FORMULA_18" localSheetId="7" hidden="1">'Function Exp'!$CS$19,'Function Exp'!$CU$19,'Function Exp'!$CW$19,'Function Exp'!$CY$19,'Function Exp'!$M$22,'Function Exp'!$U$22,'Function Exp'!$AG$22,'Function Exp'!$AQ$22,'Function Exp'!$BM$22,'Function Exp'!$BO$22,'Function Exp'!$CM$22,'Function Exp'!$CS$22,'Function Exp'!$CU$22,'Function Exp'!$CY$22,'Function Exp'!$I$23,'Function Exp'!$K$23</definedName>
    <definedName name="QB_FORMULA_18_1" localSheetId="7" hidden="1">'Function Exp'!$Q$27,'Function Exp'!$S$27,'Function Exp'!$U$27,'Function Exp'!$W$27,'Function Exp'!$Y$27,'Function Exp'!$AA$27,'Function Exp'!$AC$27,'Function Exp'!$AE$27,'Function Exp'!$AG$27,'Function Exp'!$AI$27,'Function Exp'!$AK$27,'Function Exp'!$AM$27,'Function Exp'!$AO$27,'Function Exp'!$AQ$27,'Function Exp'!$AS$27,'Function Exp'!$AU$27</definedName>
    <definedName name="QB_FORMULA_19" localSheetId="7" hidden="1">'Function Exp'!$M$23,'Function Exp'!$O$23,'Function Exp'!$Q$23,'Function Exp'!$S$23,'Function Exp'!$U$23,'Function Exp'!$W$23,'Function Exp'!$Y$23,'Function Exp'!$AA$23,'Function Exp'!$AC$23,'Function Exp'!$AE$23,'Function Exp'!$AG$23,'Function Exp'!$AI$23,'Function Exp'!$AK$23,'Function Exp'!$AM$23,'Function Exp'!$AO$23,'Function Exp'!$AQ$23</definedName>
    <definedName name="QB_FORMULA_19_1" localSheetId="7" hidden="1">'Function Exp'!$AW$27,'Function Exp'!$AY$27,'Function Exp'!$BA$27,'Function Exp'!$BC$27,'Function Exp'!$BE$27,'Function Exp'!$BG$27,'Function Exp'!$BI$27,'Function Exp'!$BK$27,'Function Exp'!$BM$27,'Function Exp'!$BO$27,'Function Exp'!$BQ$27,'Function Exp'!$BS$27,'Function Exp'!$BU$27,'Function Exp'!$BW$27,'Function Exp'!$BY$27,'Function Exp'!$CA$27</definedName>
    <definedName name="QB_FORMULA_2" localSheetId="7" hidden="1">'Function Exp'!$AG$8,'Function Exp'!$AQ$8,'Function Exp'!$BM$8,'Function Exp'!$BO$8,'Function Exp'!$CM$8,'Function Exp'!$CS$8,'Function Exp'!$CU$8,'Function Exp'!$CY$8,'Function Exp'!$M$9,'Function Exp'!$U$9,'Function Exp'!$AG$9,'Function Exp'!$AQ$9,'Function Exp'!$BM$9,'Function Exp'!$BO$9,'Function Exp'!$CM$9,'Function Exp'!$CS$9</definedName>
    <definedName name="QB_FORMULA_2" localSheetId="12" hidden="1">SOFP!$D$87,SOFP!#REF!,SOFP!$D$88,SOFP!#REF!,SOFP!$D$89,SOFP!#REF!,SOFP!$D$96,SOFP!#REF!,SOFP!$D$97,SOFP!#REF!</definedName>
    <definedName name="QB_FORMULA_20" localSheetId="7" hidden="1">'Function Exp'!$AS$23,'Function Exp'!$AU$23,'Function Exp'!$AW$23,'Function Exp'!$AY$23,'Function Exp'!$BA$23,'Function Exp'!$BC$23,'Function Exp'!$BE$23,'Function Exp'!$BG$23,'Function Exp'!$BI$23,'Function Exp'!$BK$23,'Function Exp'!$BM$23,'Function Exp'!$BO$23,'Function Exp'!$BQ$23,'Function Exp'!$BS$23,'Function Exp'!$BU$23,'Function Exp'!$BW$23</definedName>
    <definedName name="QB_FORMULA_20_1" localSheetId="7" hidden="1">'Function Exp'!$CC$27,'Function Exp'!$CE$27,'Function Exp'!$CG$27,'Function Exp'!$CI$27,'Function Exp'!$CK$27,'Function Exp'!$CM$27,'Function Exp'!$CO$27,'Function Exp'!$CQ$27,'Function Exp'!$CS$27,'Function Exp'!$CU$27,'Function Exp'!$CW$27,'Function Exp'!$CY$27,'Function Exp'!$M$29,'Function Exp'!$U$29,'Function Exp'!$AG$29,'Function Exp'!$AQ$29</definedName>
    <definedName name="QB_FORMULA_21" localSheetId="7" hidden="1">'Function Exp'!$BY$23,'Function Exp'!$CA$23,'Function Exp'!$CC$23,'Function Exp'!$CE$23,'Function Exp'!$CG$23,'Function Exp'!$CI$23,'Function Exp'!$CK$23,'Function Exp'!$CM$23,'Function Exp'!$CO$23,'Function Exp'!$CQ$23,'Function Exp'!$CS$23,'Function Exp'!$CU$23,'Function Exp'!$CW$23,'Function Exp'!$CY$23,'Function Exp'!$M$25,'Function Exp'!$U$25</definedName>
    <definedName name="QB_FORMULA_21_1" localSheetId="7" hidden="1">'Function Exp'!$BM$29,'Function Exp'!$BO$29,'Function Exp'!$CM$29,'Function Exp'!$CS$29,'Function Exp'!$CU$29,'Function Exp'!$CY$29,'Function Exp'!$M$30,'Function Exp'!$U$30,'Function Exp'!$AG$30,'Function Exp'!$AQ$30,'Function Exp'!$BM$30,'Function Exp'!$BO$30,'Function Exp'!$CM$30,'Function Exp'!$CS$30,'Function Exp'!$CU$30,'Function Exp'!$CY$30</definedName>
    <definedName name="QB_FORMULA_22" localSheetId="7" hidden="1">'Function Exp'!$AG$25,'Function Exp'!$AQ$25,'Function Exp'!$BM$25,'Function Exp'!$BO$25,'Function Exp'!$CM$25,'Function Exp'!$CS$25,'Function Exp'!$CU$25,'Function Exp'!$CY$25,'Function Exp'!$I$26,'Function Exp'!$K$26,'Function Exp'!$M$26,'Function Exp'!$O$26,'Function Exp'!$Q$26,'Function Exp'!$S$26,'Function Exp'!$U$26,'Function Exp'!$W$26</definedName>
    <definedName name="QB_FORMULA_22_1" localSheetId="7" hidden="1">'Function Exp'!$M$31,'Function Exp'!$U$31,'Function Exp'!$AG$31,'Function Exp'!$AQ$31,'Function Exp'!$BM$31,'Function Exp'!$BO$31,'Function Exp'!$CM$31,'Function Exp'!$CS$31,'Function Exp'!$CU$31,'Function Exp'!$CY$31,'Function Exp'!$M$32,'Function Exp'!$U$32,'Function Exp'!$AG$32,'Function Exp'!$AQ$32,'Function Exp'!$BM$32,'Function Exp'!$BO$32</definedName>
    <definedName name="QB_FORMULA_23" localSheetId="7" hidden="1">'Function Exp'!$Y$26,'Function Exp'!$AA$26,'Function Exp'!$AC$26,'Function Exp'!$AE$26,'Function Exp'!$AG$26,'Function Exp'!$AI$26,'Function Exp'!$AK$26,'Function Exp'!$AM$26,'Function Exp'!$AO$26,'Function Exp'!$AQ$26,'Function Exp'!$AS$26,'Function Exp'!$AU$26,'Function Exp'!$AW$26,'Function Exp'!$AY$26,'Function Exp'!$BA$26,'Function Exp'!$BC$26</definedName>
    <definedName name="QB_FORMULA_23_1" localSheetId="7" hidden="1">'Function Exp'!$CM$32,'Function Exp'!$CS$32,'Function Exp'!$CU$32,'Function Exp'!$CY$32,'Function Exp'!$M$33,'Function Exp'!$U$33,'Function Exp'!$AG$33,'Function Exp'!$AQ$33,'Function Exp'!$BM$33,'Function Exp'!$BO$33,'Function Exp'!$CM$33,'Function Exp'!$CS$33,'Function Exp'!$CU$33,'Function Exp'!$CY$33,'Function Exp'!$I$34,'Function Exp'!$K$34</definedName>
    <definedName name="QB_FORMULA_24" localSheetId="7" hidden="1">'Function Exp'!$BE$26,'Function Exp'!$BG$26,'Function Exp'!$BI$26,'Function Exp'!$BK$26,'Function Exp'!$BM$26,'Function Exp'!$BO$26,'Function Exp'!$BQ$26,'Function Exp'!$BS$26,'Function Exp'!$BU$26,'Function Exp'!$BW$26,'Function Exp'!$BY$26,'Function Exp'!$CA$26,'Function Exp'!$CC$26,'Function Exp'!$CE$26,'Function Exp'!$CG$26,'Function Exp'!$CI$26</definedName>
    <definedName name="QB_FORMULA_24_1" localSheetId="7" hidden="1">'Function Exp'!$M$34,'Function Exp'!$O$34,'Function Exp'!$Q$34,'Function Exp'!$S$34,'Function Exp'!$U$34,'Function Exp'!$W$34,'Function Exp'!$Y$34,'Function Exp'!$AA$34,'Function Exp'!$AC$34,'Function Exp'!$AE$34,'Function Exp'!$AG$34,'Function Exp'!$AI$34,'Function Exp'!$AK$34,'Function Exp'!$AM$34,'Function Exp'!$AO$34,'Function Exp'!$AQ$34</definedName>
    <definedName name="QB_FORMULA_25" localSheetId="7" hidden="1">'Function Exp'!$CK$26,'Function Exp'!$CM$26,'Function Exp'!$CO$26,'Function Exp'!$CQ$26,'Function Exp'!$CS$26,'Function Exp'!$CU$26,'Function Exp'!$CW$26,'Function Exp'!$CY$26,'Function Exp'!$I$27,'Function Exp'!$K$27,'Function Exp'!$M$27,'Function Exp'!$O$27,'Function Exp'!$Q$27,'Function Exp'!$S$27,'Function Exp'!$U$27,'Function Exp'!$W$27</definedName>
    <definedName name="QB_FORMULA_25_1" localSheetId="7" hidden="1">'Function Exp'!$AS$34,'Function Exp'!$AU$34,'Function Exp'!$AW$34,'Function Exp'!$AY$34,'Function Exp'!$BA$34,'Function Exp'!$BC$34,'Function Exp'!$BE$34,'Function Exp'!$BG$34,'Function Exp'!$BI$34,'Function Exp'!$BK$34,'Function Exp'!$BM$34,'Function Exp'!$BO$34,'Function Exp'!$BQ$34,'Function Exp'!$BS$34,'Function Exp'!$BU$34,'Function Exp'!$BW$34</definedName>
    <definedName name="QB_FORMULA_26" localSheetId="7" hidden="1">'Function Exp'!$Y$27,'Function Exp'!$AA$27,'Function Exp'!$AC$27,'Function Exp'!$AE$27,'Function Exp'!$AG$27,'Function Exp'!$AI$27,'Function Exp'!$AK$27,'Function Exp'!$AM$27,'Function Exp'!$AO$27,'Function Exp'!$AQ$27,'Function Exp'!$AS$27,'Function Exp'!$AU$27,'Function Exp'!$AW$27,'Function Exp'!$AY$27,'Function Exp'!$BA$27,'Function Exp'!$BC$27</definedName>
    <definedName name="QB_FORMULA_26_1" localSheetId="7" hidden="1">'Function Exp'!$BY$34,'Function Exp'!$CA$34,'Function Exp'!$CC$34,'Function Exp'!$CE$34,'Function Exp'!$CG$34,'Function Exp'!$CI$34,'Function Exp'!$CK$34,'Function Exp'!$CM$34,'Function Exp'!$CO$34,'Function Exp'!$CQ$34,'Function Exp'!$CS$34,'Function Exp'!$CU$34,'Function Exp'!$CW$34,'Function Exp'!$CY$34,'Function Exp'!$M$35,'Function Exp'!$U$35</definedName>
    <definedName name="QB_FORMULA_27" localSheetId="7" hidden="1">'Function Exp'!$BE$27,'Function Exp'!$BG$27,'Function Exp'!$BI$27,'Function Exp'!$BK$27,'Function Exp'!$BM$27,'Function Exp'!$BO$27,'Function Exp'!$BQ$27,'Function Exp'!$BS$27,'Function Exp'!$BU$27,'Function Exp'!$BW$27,'Function Exp'!$BY$27,'Function Exp'!$CA$27,'Function Exp'!$CC$27,'Function Exp'!$CE$27,'Function Exp'!$CG$27,'Function Exp'!$CI$27</definedName>
    <definedName name="QB_FORMULA_27_1" localSheetId="7" hidden="1">'Function Exp'!$AG$35,'Function Exp'!$AQ$35,'Function Exp'!$BM$35,'Function Exp'!$BO$35,'Function Exp'!$CM$35,'Function Exp'!$CS$35,'Function Exp'!$CU$35,'Function Exp'!$CY$35,'Function Exp'!$M$36,'Function Exp'!$U$36,'Function Exp'!$AG$36,'Function Exp'!$AQ$36,'Function Exp'!$BM$36,'Function Exp'!$BO$36,'Function Exp'!$CM$36,'Function Exp'!$CS$36</definedName>
    <definedName name="QB_FORMULA_28" localSheetId="7" hidden="1">'Function Exp'!$CK$27,'Function Exp'!$CM$27,'Function Exp'!$CO$27,'Function Exp'!$CQ$27,'Function Exp'!$CS$27,'Function Exp'!$CU$27,'Function Exp'!$CW$27,'Function Exp'!$CY$27,'Function Exp'!$I$28,'Function Exp'!$K$28,'Function Exp'!$M$28,'Function Exp'!$O$28,'Function Exp'!$Q$28,'Function Exp'!$S$28,'Function Exp'!$U$28,'Function Exp'!$W$28</definedName>
    <definedName name="QB_FORMULA_28_1" localSheetId="7" hidden="1">'Function Exp'!$CU$36,'Function Exp'!$CY$36,'Function Exp'!$M$37,'Function Exp'!$U$37,'Function Exp'!$AG$37,'Function Exp'!$AQ$37,'Function Exp'!$BM$37,'Function Exp'!$BO$37,'Function Exp'!$CM$37,'Function Exp'!$CS$37,'Function Exp'!$CU$37,'Function Exp'!$CY$37,'Function Exp'!$I$38,'Function Exp'!$K$38,'Function Exp'!$M$38,'Function Exp'!$O$38</definedName>
    <definedName name="QB_FORMULA_29" localSheetId="7" hidden="1">'Function Exp'!$Y$28,'Function Exp'!$AA$28,'Function Exp'!$AC$28,'Function Exp'!$AE$28,'Function Exp'!$AG$28,'Function Exp'!$AI$28,'Function Exp'!$AK$28,'Function Exp'!$AM$28,'Function Exp'!$AO$28,'Function Exp'!$AQ$28,'Function Exp'!$AS$28,'Function Exp'!$AU$28,'Function Exp'!$AW$28,'Function Exp'!$AY$28,'Function Exp'!$BA$28,'Function Exp'!$BC$28</definedName>
    <definedName name="QB_FORMULA_29_1" localSheetId="7" hidden="1">'Function Exp'!$Q$38,'Function Exp'!$S$38,'Function Exp'!$U$38,'Function Exp'!$W$38,'Function Exp'!$Y$38,'Function Exp'!$AA$38,'Function Exp'!$AC$38,'Function Exp'!$AE$38,'Function Exp'!$AG$38,'Function Exp'!$AI$38,'Function Exp'!$AK$38,'Function Exp'!$AM$38,'Function Exp'!$AO$38,'Function Exp'!$AQ$38,'Function Exp'!$AS$38,'Function Exp'!$AU$38</definedName>
    <definedName name="QB_FORMULA_3" localSheetId="7" hidden="1">'Function Exp'!$CU$9,'Function Exp'!$CY$9,'Function Exp'!$M$10,'Function Exp'!$U$10,'Function Exp'!$AG$10,'Function Exp'!$AQ$10,'Function Exp'!$BM$10,'Function Exp'!$BO$10,'Function Exp'!$CM$10,'Function Exp'!$CS$10,'Function Exp'!$CU$10,'Function Exp'!$CY$10,'Function Exp'!$M$11,'Function Exp'!$U$11,'Function Exp'!$AG$11,'Function Exp'!$AQ$11</definedName>
    <definedName name="QB_FORMULA_30" localSheetId="7" hidden="1">'Function Exp'!$BE$28,'Function Exp'!$BG$28,'Function Exp'!$BI$28,'Function Exp'!$BK$28,'Function Exp'!$BM$28,'Function Exp'!$BO$28,'Function Exp'!$BQ$28,'Function Exp'!$BS$28,'Function Exp'!$BU$28,'Function Exp'!$BW$28,'Function Exp'!$BY$28,'Function Exp'!$CA$28,'Function Exp'!$CC$28,'Function Exp'!$CE$28,'Function Exp'!$CG$28,'Function Exp'!$CI$28</definedName>
    <definedName name="QB_FORMULA_30_1" localSheetId="7" hidden="1">'Function Exp'!$AW$38,'Function Exp'!$AY$38,'Function Exp'!$BA$38,'Function Exp'!$BC$38,'Function Exp'!$BE$38,'Function Exp'!$BG$38,'Function Exp'!$BI$38,'Function Exp'!$BK$38,'Function Exp'!$BM$38,'Function Exp'!$BO$38,'Function Exp'!$BQ$38,'Function Exp'!$BS$38,'Function Exp'!$BU$38,'Function Exp'!$BW$38,'Function Exp'!$BY$38,'Function Exp'!$CA$38</definedName>
    <definedName name="QB_FORMULA_31" localSheetId="7" hidden="1">'Function Exp'!$CK$28,'Function Exp'!$CM$28,'Function Exp'!$CO$28,'Function Exp'!$CQ$28,'Function Exp'!$CS$28,'Function Exp'!$CU$28,'Function Exp'!$CW$28,'Function Exp'!$CY$28</definedName>
    <definedName name="QB_FORMULA_31_1" localSheetId="7" hidden="1">'Function Exp'!$CC$38,'Function Exp'!$CE$38,'Function Exp'!$CG$38,'Function Exp'!$CI$38,'Function Exp'!$CK$38,'Function Exp'!$CM$38,'Function Exp'!$CO$38,'Function Exp'!$CQ$38,'Function Exp'!$CS$38,'Function Exp'!$CU$38,'Function Exp'!$CW$38,'Function Exp'!$CY$38,'Function Exp'!$M$40,'Function Exp'!$U$40,'Function Exp'!$AG$40,'Function Exp'!$AQ$40</definedName>
    <definedName name="QB_FORMULA_32" localSheetId="7" hidden="1">'Function Exp'!$BM$40,'Function Exp'!$BO$40,'Function Exp'!$CM$40,'Function Exp'!$CS$40,'Function Exp'!$CU$40,'Function Exp'!$CY$40,'Function Exp'!$M$41,'Function Exp'!$U$41,'Function Exp'!$AG$41,'Function Exp'!$AQ$41,'Function Exp'!$BM$41,'Function Exp'!$BO$41,'Function Exp'!$CM$41,'Function Exp'!$CS$41,'Function Exp'!$CU$41,'Function Exp'!$CY$41</definedName>
    <definedName name="QB_FORMULA_33" localSheetId="7" hidden="1">'Function Exp'!$M$42,'Function Exp'!$U$42,'Function Exp'!$AG$42,'Function Exp'!$AQ$42,'Function Exp'!$BM$42,'Function Exp'!$BO$42,'Function Exp'!$CM$42,'Function Exp'!$CS$42,'Function Exp'!$CU$42,'Function Exp'!$CY$42,'Function Exp'!$M$43,'Function Exp'!$U$43,'Function Exp'!$AG$43,'Function Exp'!$AQ$43,'Function Exp'!$BM$43,'Function Exp'!$BO$43</definedName>
    <definedName name="QB_FORMULA_34" localSheetId="7" hidden="1">'Function Exp'!$CM$43,'Function Exp'!$CS$43,'Function Exp'!$CU$43,'Function Exp'!$CY$43,'Function Exp'!$M$44,'Function Exp'!$U$44,'Function Exp'!$AG$44,'Function Exp'!$AQ$44,'Function Exp'!$BM$44,'Function Exp'!$BO$44,'Function Exp'!$CM$44,'Function Exp'!$CS$44,'Function Exp'!$CU$44,'Function Exp'!$CY$44,'Function Exp'!$M$45,'Function Exp'!$U$45</definedName>
    <definedName name="QB_FORMULA_35" localSheetId="7" hidden="1">'Function Exp'!$AG$45,'Function Exp'!$AQ$45,'Function Exp'!$BM$45,'Function Exp'!$BO$45,'Function Exp'!$CM$45,'Function Exp'!$CS$45,'Function Exp'!$CU$45,'Function Exp'!$CY$45,'Function Exp'!$M$46,'Function Exp'!$U$46,'Function Exp'!$AG$46,'Function Exp'!$AQ$46,'Function Exp'!$BM$46,'Function Exp'!$BO$46,'Function Exp'!$CM$46,'Function Exp'!$CS$46</definedName>
    <definedName name="QB_FORMULA_36" localSheetId="7" hidden="1">'Function Exp'!$CU$46,'Function Exp'!$CY$46,'Function Exp'!$I$47,'Function Exp'!$K$47,'Function Exp'!$M$47,'Function Exp'!$O$47,'Function Exp'!$Q$47,'Function Exp'!$S$47,'Function Exp'!$U$47,'Function Exp'!$W$47,'Function Exp'!$Y$47,'Function Exp'!$AA$47,'Function Exp'!$AC$47,'Function Exp'!$AE$47,'Function Exp'!$AG$47,'Function Exp'!$AI$47</definedName>
    <definedName name="QB_FORMULA_37" localSheetId="7" hidden="1">'Function Exp'!$AK$47,'Function Exp'!$AM$47,'Function Exp'!$AO$47,'Function Exp'!$AQ$47,'Function Exp'!$AS$47,'Function Exp'!$AU$47,'Function Exp'!$AW$47,'Function Exp'!$AY$47,'Function Exp'!$BA$47,'Function Exp'!$BC$47,'Function Exp'!$BE$47,'Function Exp'!$BG$47,'Function Exp'!$BI$47,'Function Exp'!$BK$47,'Function Exp'!$BM$47,'Function Exp'!$BO$47</definedName>
    <definedName name="QB_FORMULA_38" localSheetId="7" hidden="1">'Function Exp'!$BQ$47,'Function Exp'!$BS$47,'Function Exp'!$BU$47,'Function Exp'!$BW$47,'Function Exp'!$BY$47,'Function Exp'!$CA$47,'Function Exp'!$CC$47,'Function Exp'!$CE$47,'Function Exp'!$CG$47,'Function Exp'!$CI$47,'Function Exp'!$CK$47,'Function Exp'!$CM$47,'Function Exp'!$CO$47,'Function Exp'!$CQ$47,'Function Exp'!$CS$47,'Function Exp'!$CU$47</definedName>
    <definedName name="QB_FORMULA_39" localSheetId="7" hidden="1">'Function Exp'!$CW$47,'Function Exp'!$CY$47,'Function Exp'!$M$50,'Function Exp'!$U$50,'Function Exp'!$AG$50,'Function Exp'!$AQ$50,'Function Exp'!$BM$50,'Function Exp'!$BO$50,'Function Exp'!$CM$50,'Function Exp'!$CS$50,'Function Exp'!$CU$50,'Function Exp'!$CY$50,'Function Exp'!$M$51,'Function Exp'!$U$51,'Function Exp'!$AG$51,'Function Exp'!$AQ$51</definedName>
    <definedName name="QB_FORMULA_4" localSheetId="7" hidden="1">'Function Exp'!$BM$11,'Function Exp'!$BO$11,'Function Exp'!$CM$11,'Function Exp'!$CS$11,'Function Exp'!$CU$11,'Function Exp'!$CY$11,'Function Exp'!$I$12,'Function Exp'!$K$12,'Function Exp'!$M$12,'Function Exp'!$O$12,'Function Exp'!$Q$12,'Function Exp'!$S$12,'Function Exp'!$U$12,'Function Exp'!$W$12,'Function Exp'!$Y$12,'Function Exp'!$AA$12</definedName>
    <definedName name="QB_FORMULA_40" localSheetId="7" hidden="1">'Function Exp'!$BM$51,'Function Exp'!$BO$51,'Function Exp'!$CM$51,'Function Exp'!$CS$51,'Function Exp'!$CU$51,'Function Exp'!$CY$51,'Function Exp'!$M$52,'Function Exp'!$U$52,'Function Exp'!$AG$52,'Function Exp'!$AQ$52,'Function Exp'!$BM$52,'Function Exp'!$BO$52,'Function Exp'!$CM$52,'Function Exp'!$CS$52,'Function Exp'!$CU$52,'Function Exp'!$CY$52</definedName>
    <definedName name="QB_FORMULA_41" localSheetId="7" hidden="1">'Function Exp'!$M$53,'Function Exp'!$U$53,'Function Exp'!$AG$53,'Function Exp'!$AQ$53,'Function Exp'!$BM$53,'Function Exp'!$BO$53,'Function Exp'!$CM$53,'Function Exp'!$CS$53,'Function Exp'!$CU$53,'Function Exp'!$CY$53,'Function Exp'!$I$54,'Function Exp'!$K$54,'Function Exp'!$M$54,'Function Exp'!$O$54,'Function Exp'!$Q$54,'Function Exp'!$S$54</definedName>
    <definedName name="QB_FORMULA_42" localSheetId="7" hidden="1">'Function Exp'!$U$54,'Function Exp'!$W$54,'Function Exp'!$Y$54,'Function Exp'!$AA$54,'Function Exp'!$AC$54,'Function Exp'!$AE$54,'Function Exp'!$AG$54,'Function Exp'!$AI$54,'Function Exp'!$AK$54,'Function Exp'!$AM$54,'Function Exp'!$AO$54,'Function Exp'!$AQ$54,'Function Exp'!$AS$54,'Function Exp'!$AU$54,'Function Exp'!$AW$54,'Function Exp'!$AY$54</definedName>
    <definedName name="QB_FORMULA_43" localSheetId="7" hidden="1">'Function Exp'!$BA$54,'Function Exp'!$BC$54,'Function Exp'!$BE$54,'Function Exp'!$BG$54,'Function Exp'!$BI$54,'Function Exp'!$BK$54,'Function Exp'!$BM$54,'Function Exp'!$BO$54,'Function Exp'!$BQ$54,'Function Exp'!$BS$54,'Function Exp'!$BU$54,'Function Exp'!$BW$54,'Function Exp'!$BY$54,'Function Exp'!$CA$54,'Function Exp'!$CC$54,'Function Exp'!$CE$54</definedName>
    <definedName name="QB_FORMULA_44" localSheetId="7" hidden="1">'Function Exp'!$CG$54,'Function Exp'!$CI$54,'Function Exp'!$CK$54,'Function Exp'!$CM$54,'Function Exp'!$CO$54,'Function Exp'!$CQ$54,'Function Exp'!$CS$54,'Function Exp'!$CU$54,'Function Exp'!$CW$54,'Function Exp'!$CY$54,'Function Exp'!$M$55,'Function Exp'!$U$55,'Function Exp'!$AG$55,'Function Exp'!$AQ$55,'Function Exp'!$BM$55,'Function Exp'!$BO$55</definedName>
    <definedName name="QB_FORMULA_45" localSheetId="7" hidden="1">'Function Exp'!$CM$55,'Function Exp'!$CS$55,'Function Exp'!$CU$55,'Function Exp'!$CY$55,'Function Exp'!$M$56,'Function Exp'!$U$56,'Function Exp'!$AG$56,'Function Exp'!$AQ$56,'Function Exp'!$BM$56,'Function Exp'!$BO$56,'Function Exp'!$CM$56,'Function Exp'!$CS$56,'Function Exp'!$CU$56,'Function Exp'!$CY$56,'Function Exp'!$I$57,'Function Exp'!$K$57</definedName>
    <definedName name="QB_FORMULA_46" localSheetId="7" hidden="1">'Function Exp'!$M$57,'Function Exp'!$O$57,'Function Exp'!$Q$57,'Function Exp'!$S$57,'Function Exp'!$U$57,'Function Exp'!$W$57,'Function Exp'!$Y$57,'Function Exp'!$AA$57,'Function Exp'!$AC$57,'Function Exp'!$AE$57,'Function Exp'!$AG$57,'Function Exp'!$AI$57,'Function Exp'!$AK$57,'Function Exp'!$AM$57,'Function Exp'!$AO$57,'Function Exp'!$AQ$57</definedName>
    <definedName name="QB_FORMULA_47" localSheetId="7" hidden="1">'Function Exp'!$AS$57,'Function Exp'!$AU$57,'Function Exp'!$AW$57,'Function Exp'!$AY$57,'Function Exp'!$BA$57,'Function Exp'!$BC$57,'Function Exp'!$BE$57,'Function Exp'!$BG$57,'Function Exp'!$BI$57,'Function Exp'!$BK$57,'Function Exp'!$BM$57,'Function Exp'!$BO$57,'Function Exp'!$BQ$57,'Function Exp'!$BS$57,'Function Exp'!$BU$57,'Function Exp'!$BW$57</definedName>
    <definedName name="QB_FORMULA_48" localSheetId="7" hidden="1">'Function Exp'!$BY$57,'Function Exp'!$CA$57,'Function Exp'!$CC$57,'Function Exp'!$CE$57,'Function Exp'!$CG$57,'Function Exp'!$CI$57,'Function Exp'!$CK$57,'Function Exp'!$CM$57,'Function Exp'!$CO$57,'Function Exp'!$CQ$57,'Function Exp'!$CS$57,'Function Exp'!$CU$57,'Function Exp'!$CW$57,'Function Exp'!$CY$57,'Function Exp'!$I$58,'Function Exp'!$K$58</definedName>
    <definedName name="QB_FORMULA_49" localSheetId="7" hidden="1">'Function Exp'!$M$58,'Function Exp'!$O$58,'Function Exp'!$Q$58,'Function Exp'!$S$58,'Function Exp'!$U$58,'Function Exp'!$W$58,'Function Exp'!$Y$58,'Function Exp'!$AA$58,'Function Exp'!$AC$58,'Function Exp'!$AE$58,'Function Exp'!$AG$58,'Function Exp'!$AI$58,'Function Exp'!$AK$58,'Function Exp'!$AM$58,'Function Exp'!$AO$58,'Function Exp'!$AQ$58</definedName>
    <definedName name="QB_FORMULA_5" localSheetId="7" hidden="1">'Function Exp'!$AC$12,'Function Exp'!$AE$12,'Function Exp'!$AG$12,'Function Exp'!$AI$12,'Function Exp'!$AK$12,'Function Exp'!$AM$12,'Function Exp'!$AO$12,'Function Exp'!$AQ$12,'Function Exp'!$AS$12,'Function Exp'!$AU$12,'Function Exp'!$AW$12,'Function Exp'!$AY$12,'Function Exp'!$BA$12,'Function Exp'!$BC$12,'Function Exp'!$BE$12,'Function Exp'!$BG$12</definedName>
    <definedName name="QB_FORMULA_50" localSheetId="7" hidden="1">'Function Exp'!$AS$58,'Function Exp'!$AU$58,'Function Exp'!$AW$58,'Function Exp'!$AY$58,'Function Exp'!$BA$58,'Function Exp'!$BC$58,'Function Exp'!$BE$58,'Function Exp'!$BG$58,'Function Exp'!$BI$58,'Function Exp'!$BK$58,'Function Exp'!$BM$58,'Function Exp'!$BO$58,'Function Exp'!$BQ$58,'Function Exp'!$BS$58,'Function Exp'!$BU$58,'Function Exp'!$BW$58</definedName>
    <definedName name="QB_FORMULA_51" localSheetId="7" hidden="1">'Function Exp'!$BY$58,'Function Exp'!$CA$58,'Function Exp'!$CC$58,'Function Exp'!$CE$58,'Function Exp'!$CG$58,'Function Exp'!$CI$58,'Function Exp'!$CK$58,'Function Exp'!$CM$58,'Function Exp'!$CO$58,'Function Exp'!$CQ$58,'Function Exp'!$CS$58,'Function Exp'!$CU$58,'Function Exp'!$CW$58,'Function Exp'!$CY$58,'Function Exp'!$M$60,'Function Exp'!$U$60</definedName>
    <definedName name="QB_FORMULA_52" localSheetId="7" hidden="1">'Function Exp'!$AG$60,'Function Exp'!$AQ$60,'Function Exp'!$BM$60,'Function Exp'!$BO$60,'Function Exp'!$CM$60,'Function Exp'!$CS$60,'Function Exp'!$CU$60,'Function Exp'!$CY$60,'Function Exp'!$I$61,'Function Exp'!$K$61,'Function Exp'!$M$61,'Function Exp'!$O$61,'Function Exp'!$Q$61,'Function Exp'!$S$61,'Function Exp'!$U$61,'Function Exp'!$W$61</definedName>
    <definedName name="QB_FORMULA_53" localSheetId="7" hidden="1">'Function Exp'!$Y$61,'Function Exp'!$AA$61,'Function Exp'!$AC$61,'Function Exp'!$AE$61,'Function Exp'!$AG$61,'Function Exp'!$AI$61,'Function Exp'!$AK$61,'Function Exp'!$AM$61,'Function Exp'!$AO$61,'Function Exp'!$AQ$61,'Function Exp'!$AS$61,'Function Exp'!$AU$61,'Function Exp'!$AW$61,'Function Exp'!$AY$61,'Function Exp'!$BA$61,'Function Exp'!$BC$61</definedName>
    <definedName name="QB_FORMULA_54" localSheetId="7" hidden="1">'Function Exp'!$BE$61,'Function Exp'!$BG$61,'Function Exp'!$BI$61,'Function Exp'!$BK$61,'Function Exp'!$BM$61,'Function Exp'!$BO$61,'Function Exp'!$BQ$61,'Function Exp'!$BS$61,'Function Exp'!$BU$61,'Function Exp'!$BW$61,'Function Exp'!$BY$61,'Function Exp'!$CA$61,'Function Exp'!$CC$61,'Function Exp'!$CE$61,'Function Exp'!$CG$61,'Function Exp'!$CI$61</definedName>
    <definedName name="QB_FORMULA_55" localSheetId="7" hidden="1">'Function Exp'!$CK$61,'Function Exp'!$CM$61,'Function Exp'!$CO$61,'Function Exp'!$CQ$61,'Function Exp'!$CS$61,'Function Exp'!$CU$61,'Function Exp'!$CW$61,'Function Exp'!$CY$61,'Function Exp'!$I$62,'Function Exp'!$K$62,'Function Exp'!$M$62,'Function Exp'!$O$62,'Function Exp'!$Q$62,'Function Exp'!$S$62,'Function Exp'!$U$62,'Function Exp'!$W$62</definedName>
    <definedName name="QB_FORMULA_56" localSheetId="7" hidden="1">'Function Exp'!$Y$62,'Function Exp'!$AA$62,'Function Exp'!$AC$62,'Function Exp'!$AE$62,'Function Exp'!$AG$62,'Function Exp'!$AI$62,'Function Exp'!$AK$62,'Function Exp'!$AM$62,'Function Exp'!$AO$62,'Function Exp'!$AQ$62,'Function Exp'!$AS$62,'Function Exp'!$AU$62,'Function Exp'!$AW$62,'Function Exp'!$AY$62,'Function Exp'!$BA$62,'Function Exp'!$BC$62</definedName>
    <definedName name="QB_FORMULA_57" localSheetId="7" hidden="1">'Function Exp'!$BE$62,'Function Exp'!$BG$62,'Function Exp'!$BI$62,'Function Exp'!$BK$62,'Function Exp'!$BM$62,'Function Exp'!$BO$62,'Function Exp'!$BQ$62,'Function Exp'!$BS$62,'Function Exp'!$BU$62,'Function Exp'!$BW$62,'Function Exp'!$BY$62,'Function Exp'!$CA$62,'Function Exp'!$CC$62,'Function Exp'!$CE$62,'Function Exp'!$CG$62,'Function Exp'!$CI$62</definedName>
    <definedName name="QB_FORMULA_58" localSheetId="7" hidden="1">'Function Exp'!$CK$62,'Function Exp'!$CM$62,'Function Exp'!$CO$62,'Function Exp'!$CQ$62,'Function Exp'!$CS$62,'Function Exp'!$CU$62,'Function Exp'!$CW$62,'Function Exp'!$CY$62,'Function Exp'!$I$63,'Function Exp'!$K$63,'Function Exp'!$M$63,'Function Exp'!$O$63,'Function Exp'!$Q$63,'Function Exp'!$S$63,'Function Exp'!$U$63,'Function Exp'!$W$63</definedName>
    <definedName name="QB_FORMULA_59" localSheetId="7" hidden="1">'Function Exp'!$Y$63,'Function Exp'!$AA$63,'Function Exp'!$AC$63,'Function Exp'!$AE$63,'Function Exp'!$AG$63,'Function Exp'!$AI$63,'Function Exp'!$AK$63,'Function Exp'!$AM$63,'Function Exp'!$AO$63,'Function Exp'!$AQ$63,'Function Exp'!$AS$63,'Function Exp'!$AU$63,'Function Exp'!$AW$63,'Function Exp'!$AY$63,'Function Exp'!$BA$63,'Function Exp'!$BC$63</definedName>
    <definedName name="QB_FORMULA_6" localSheetId="7" hidden="1">'Function Exp'!$BI$12,'Function Exp'!$BK$12,'Function Exp'!$BM$12,'Function Exp'!$BO$12,'Function Exp'!$BQ$12,'Function Exp'!$BS$12,'Function Exp'!$BU$12,'Function Exp'!$BW$12,'Function Exp'!$BY$12,'Function Exp'!$CA$12,'Function Exp'!$CC$12,'Function Exp'!$CE$12,'Function Exp'!$CG$12,'Function Exp'!$CI$12,'Function Exp'!$CK$12,'Function Exp'!$CM$12</definedName>
    <definedName name="QB_FORMULA_60" localSheetId="7" hidden="1">'Function Exp'!$BE$63,'Function Exp'!$BG$63,'Function Exp'!$BI$63,'Function Exp'!$BK$63,'Function Exp'!$BM$63,'Function Exp'!$BO$63,'Function Exp'!$BQ$63,'Function Exp'!$BS$63,'Function Exp'!$BU$63,'Function Exp'!$BW$63,'Function Exp'!$BY$63,'Function Exp'!$CA$63,'Function Exp'!$CC$63,'Function Exp'!$CE$63,'Function Exp'!$CG$63,'Function Exp'!$CI$63</definedName>
    <definedName name="QB_FORMULA_61" localSheetId="7" hidden="1">'Function Exp'!$CK$63,'Function Exp'!$CM$63,'Function Exp'!$CO$63,'Function Exp'!$CQ$63,'Function Exp'!$CS$63,'Function Exp'!$CU$63,'Function Exp'!$CW$63,'Function Exp'!$CY$63,'Function Exp'!$M$67,'Function Exp'!$U$67,'Function Exp'!$AG$67,'Function Exp'!$AQ$67,'Function Exp'!$BM$67,'Function Exp'!$BO$67,'Function Exp'!$CM$67,'Function Exp'!$CS$67</definedName>
    <definedName name="QB_FORMULA_62" localSheetId="7" hidden="1">'Function Exp'!$CU$67,'Function Exp'!$CY$67,'Function Exp'!$M$68,'Function Exp'!$U$68,'Function Exp'!$AG$68,'Function Exp'!$AQ$68,'Function Exp'!$BM$68,'Function Exp'!$BO$68,'Function Exp'!$CM$68,'Function Exp'!$CS$68,'Function Exp'!$CU$68,'Function Exp'!$CY$68,'Function Exp'!$I$69,'Function Exp'!$K$69,'Function Exp'!$M$69,'Function Exp'!$O$69</definedName>
    <definedName name="QB_FORMULA_63" localSheetId="7" hidden="1">'Function Exp'!$Q$69,'Function Exp'!$S$69,'Function Exp'!$U$69,'Function Exp'!$W$69,'Function Exp'!$Y$69,'Function Exp'!$AA$69,'Function Exp'!$AC$69,'Function Exp'!$AE$69,'Function Exp'!$AG$69,'Function Exp'!$AI$69,'Function Exp'!$AK$69,'Function Exp'!$AM$69,'Function Exp'!$AO$69,'Function Exp'!$AQ$69,'Function Exp'!$AS$69,'Function Exp'!$AU$69</definedName>
    <definedName name="QB_FORMULA_64" localSheetId="7" hidden="1">'Function Exp'!$AW$69,'Function Exp'!$AY$69,'Function Exp'!$BA$69,'Function Exp'!$BC$69,'Function Exp'!$BE$69,'Function Exp'!$BG$69,'Function Exp'!$BI$69,'Function Exp'!$BK$69,'Function Exp'!$BM$69,'Function Exp'!$BO$69,'Function Exp'!$BQ$69,'Function Exp'!$BS$69,'Function Exp'!$BU$69,'Function Exp'!$BW$69,'Function Exp'!$BY$69,'Function Exp'!$CA$69</definedName>
    <definedName name="QB_FORMULA_65" localSheetId="7" hidden="1">'Function Exp'!$CC$69,'Function Exp'!$CE$69,'Function Exp'!$CG$69,'Function Exp'!$CI$69,'Function Exp'!$CK$69,'Function Exp'!$CM$69,'Function Exp'!$CO$69,'Function Exp'!$CQ$69,'Function Exp'!$CS$69,'Function Exp'!$CU$69,'Function Exp'!$CW$69,'Function Exp'!$CY$69,'Function Exp'!$I$70,'Function Exp'!$K$70,'Function Exp'!$M$70,'Function Exp'!$O$70</definedName>
    <definedName name="QB_FORMULA_66" localSheetId="7" hidden="1">'Function Exp'!$Q$70,'Function Exp'!$S$70,'Function Exp'!$U$70,'Function Exp'!$W$70,'Function Exp'!$Y$70,'Function Exp'!$AA$70,'Function Exp'!$AC$70,'Function Exp'!$AE$70,'Function Exp'!$AG$70,'Function Exp'!$AI$70,'Function Exp'!$AK$70,'Function Exp'!$AM$70,'Function Exp'!$AO$70,'Function Exp'!$AQ$70,'Function Exp'!$AS$70,'Function Exp'!$AU$70</definedName>
    <definedName name="QB_FORMULA_67" localSheetId="7" hidden="1">'Function Exp'!$AW$70,'Function Exp'!$AY$70,'Function Exp'!$BA$70,'Function Exp'!$BC$70,'Function Exp'!$BE$70,'Function Exp'!$BG$70,'Function Exp'!$BI$70,'Function Exp'!$BK$70,'Function Exp'!$BM$70,'Function Exp'!$BO$70,'Function Exp'!$BQ$70,'Function Exp'!$BS$70,'Function Exp'!$BU$70,'Function Exp'!$BW$70,'Function Exp'!$BY$70,'Function Exp'!$CA$70</definedName>
    <definedName name="QB_FORMULA_7" localSheetId="7" hidden="1">'Function Exp'!$CO$12,'Function Exp'!$CQ$12,'Function Exp'!$CS$12,'Function Exp'!$CU$12,'Function Exp'!$CW$12,'Function Exp'!$CY$12,'Function Exp'!$I$13,'Function Exp'!$K$13,'Function Exp'!$M$13,'Function Exp'!$O$13,'Function Exp'!$Q$13,'Function Exp'!$S$13,'Function Exp'!$U$13,'Function Exp'!$W$13,'Function Exp'!$Y$13,'Function Exp'!$AA$13</definedName>
    <definedName name="QB_FORMULA_8" localSheetId="7" hidden="1">'Function Exp'!$AC$13,'Function Exp'!$AE$13,'Function Exp'!$AG$13,'Function Exp'!$AI$13,'Function Exp'!$AK$13,'Function Exp'!$AM$13,'Function Exp'!$AO$13,'Function Exp'!$AQ$13,'Function Exp'!$AS$13,'Function Exp'!$AU$13,'Function Exp'!$AW$13,'Function Exp'!$AY$13,'Function Exp'!$BA$13,'Function Exp'!$BC$13,'Function Exp'!$BE$13,'Function Exp'!$BG$13</definedName>
    <definedName name="QB_FORMULA_9" localSheetId="7" hidden="1">'Function Exp'!$BI$13,'Function Exp'!$BK$13,'Function Exp'!$BM$13,'Function Exp'!$BO$13,'Function Exp'!$BQ$13,'Function Exp'!$BS$13,'Function Exp'!$BU$13,'Function Exp'!$BW$13,'Function Exp'!$BY$13,'Function Exp'!$CA$13,'Function Exp'!$CC$13,'Function Exp'!$CE$13,'Function Exp'!$CG$13,'Function Exp'!$CI$13,'Function Exp'!$CK$13,'Function Exp'!$CM$13</definedName>
    <definedName name="QB_ROW_1" localSheetId="12" hidden="1">SOFP!#REF!</definedName>
    <definedName name="QB_ROW_10031" localSheetId="12" hidden="1">SOFP!#REF!</definedName>
    <definedName name="QB_ROW_1011" localSheetId="12" hidden="1">SOFP!#REF!</definedName>
    <definedName name="QB_ROW_10331" localSheetId="12" hidden="1">SOFP!#REF!</definedName>
    <definedName name="QB_ROW_108220" localSheetId="12" hidden="1">SOFP!#REF!</definedName>
    <definedName name="QB_ROW_109230" localSheetId="12" hidden="1">SOFP!#REF!</definedName>
    <definedName name="QB_ROW_11031" localSheetId="12" hidden="1">SOFP!#REF!</definedName>
    <definedName name="QB_ROW_113020" localSheetId="12" hidden="1">SOFP!#REF!</definedName>
    <definedName name="QB_ROW_113230" localSheetId="12" hidden="1">SOFP!#REF!</definedName>
    <definedName name="QB_ROW_11331" localSheetId="12" hidden="1">SOFP!#REF!</definedName>
    <definedName name="QB_ROW_113320" localSheetId="12" hidden="1">SOFP!#REF!</definedName>
    <definedName name="QB_ROW_1142600" localSheetId="7" hidden="1">'Function Exp'!$G$45</definedName>
    <definedName name="QB_ROW_1192700" localSheetId="7" hidden="1">'Function Exp'!$H$51</definedName>
    <definedName name="QB_ROW_12031" localSheetId="12" hidden="1">SOFP!#REF!</definedName>
    <definedName name="QB_ROW_1213400" localSheetId="7" hidden="1">'Function Exp'!$E$6</definedName>
    <definedName name="QB_ROW_1223400" localSheetId="7" hidden="1">'Function Exp'!$E$5</definedName>
    <definedName name="QB_ROW_123220" localSheetId="12" hidden="1">SOFP!#REF!</definedName>
    <definedName name="QB_ROW_12331" localSheetId="12" hidden="1">SOFP!#REF!</definedName>
    <definedName name="QB_ROW_1273400" localSheetId="7" hidden="1">'Function Exp'!$E$8</definedName>
    <definedName name="QB_ROW_1311" localSheetId="12" hidden="1">SOFP!#REF!</definedName>
    <definedName name="QB_ROW_1330500" localSheetId="7" hidden="1">'Function Exp'!$F$48</definedName>
    <definedName name="QB_ROW_1333500" localSheetId="7" hidden="1">'Function Exp'!$F$57</definedName>
    <definedName name="QB_ROW_137240" localSheetId="12" hidden="1">SOFP!#REF!</definedName>
    <definedName name="QB_ROW_1380600" localSheetId="7" hidden="1">'Function Exp'!$G$28</definedName>
    <definedName name="QB_ROW_1382700" localSheetId="7" hidden="1">'Function Exp'!$H$33</definedName>
    <definedName name="QB_ROW_1383600" localSheetId="7" hidden="1">'Function Exp'!$G$34</definedName>
    <definedName name="QB_ROW_14011" localSheetId="12" hidden="1">SOFP!#REF!</definedName>
    <definedName name="QB_ROW_142600" localSheetId="7" hidden="1">'Function Exp'!$G$44</definedName>
    <definedName name="QB_ROW_14311" localSheetId="12" hidden="1">SOFP!#REF!</definedName>
    <definedName name="QB_ROW_1562700" localSheetId="7" hidden="1">'Function Exp'!$H$53</definedName>
    <definedName name="QB_ROW_1592700" localSheetId="7" hidden="1">'Function Exp'!$H$52</definedName>
    <definedName name="QB_ROW_160600" localSheetId="7" hidden="1">'Function Exp'!$G$23</definedName>
    <definedName name="QB_ROW_162700" localSheetId="7" hidden="1">'Function Exp'!$H$26</definedName>
    <definedName name="QB_ROW_163600" localSheetId="7" hidden="1">'Function Exp'!$G$27</definedName>
    <definedName name="QB_ROW_17221" localSheetId="12" hidden="1">SOFP!#REF!</definedName>
    <definedName name="QB_ROW_180250" localSheetId="12" hidden="1">SOFP!#REF!</definedName>
    <definedName name="QB_ROW_182700" localSheetId="7" hidden="1">'Function Exp'!$H$32</definedName>
    <definedName name="QB_ROW_18301" localSheetId="8" hidden="1">SOR!#REF!</definedName>
    <definedName name="QB_ROW_183010" localSheetId="7" hidden="1">'Function Exp'!$A$28</definedName>
    <definedName name="QB_ROW_190110" localSheetId="7" hidden="1">'Function Exp'!$B$3</definedName>
    <definedName name="QB_ROW_193110" localSheetId="7" hidden="1">'Function Exp'!$B$19</definedName>
    <definedName name="QB_ROW_193110_1" localSheetId="7" hidden="1">'Function Exp'!$B$63</definedName>
    <definedName name="QB_ROW_20022" localSheetId="8" hidden="1">SOR!#REF!</definedName>
    <definedName name="QB_ROW_200310" localSheetId="7" hidden="1">'Function Exp'!$D$4</definedName>
    <definedName name="QB_ROW_2021" localSheetId="12" hidden="1">SOFP!#REF!</definedName>
    <definedName name="QB_ROW_2022600" localSheetId="7" hidden="1">'Function Exp'!$G$22</definedName>
    <definedName name="QB_ROW_20322" localSheetId="8" hidden="1">SOR!#REF!</definedName>
    <definedName name="QB_ROW_203310" localSheetId="7" hidden="1">'Function Exp'!$D$12</definedName>
    <definedName name="QB_ROW_204240" localSheetId="12" hidden="1">SOFP!#REF!</definedName>
    <definedName name="QB_ROW_206230" localSheetId="12" hidden="1">SOFP!#REF!</definedName>
    <definedName name="QB_ROW_207230" localSheetId="12" hidden="1">SOFP!#REF!</definedName>
    <definedName name="QB_ROW_209020" localSheetId="12" hidden="1">SOFP!#REF!</definedName>
    <definedName name="QB_ROW_209230" localSheetId="12" hidden="1">SOFP!#REF!</definedName>
    <definedName name="QB_ROW_209320" localSheetId="12" hidden="1">SOFP!#REF!</definedName>
    <definedName name="QB_ROW_21022" localSheetId="8" hidden="1">SOR!#REF!</definedName>
    <definedName name="QB_ROW_210310" localSheetId="7" hidden="1">'Function Exp'!$D$14</definedName>
    <definedName name="QB_ROW_211230" localSheetId="12" hidden="1">SOFP!#REF!</definedName>
    <definedName name="QB_ROW_21322" localSheetId="8" hidden="1">SOR!#REF!</definedName>
    <definedName name="QB_ROW_213310" localSheetId="7" hidden="1">'Function Exp'!$D$18</definedName>
    <definedName name="QB_ROW_213310_1" localSheetId="7" hidden="1">'Function Exp'!$D$62</definedName>
    <definedName name="QB_ROW_217220" localSheetId="12" hidden="1">SOFP!#REF!</definedName>
    <definedName name="QB_ROW_220110" localSheetId="7" hidden="1">'Function Exp'!$B$20</definedName>
    <definedName name="QB_ROW_220110_1" localSheetId="7" hidden="1">'Function Exp'!$B$64</definedName>
    <definedName name="QB_ROW_2220" localSheetId="12" hidden="1">SOFP!#REF!</definedName>
    <definedName name="QB_ROW_223110" localSheetId="7" hidden="1">'Function Exp'!$B$27</definedName>
    <definedName name="QB_ROW_2270500" localSheetId="7" hidden="1">'Function Exp'!$F$39</definedName>
    <definedName name="QB_ROW_2273500" localSheetId="7" hidden="1">'Function Exp'!$F$47</definedName>
    <definedName name="QB_ROW_2280500" localSheetId="7" hidden="1">'Function Exp'!$F$19</definedName>
    <definedName name="QB_ROW_2282600" localSheetId="7" hidden="1">'Function Exp'!$G$37</definedName>
    <definedName name="QB_ROW_2283500" localSheetId="7" hidden="1">'Function Exp'!$F$38</definedName>
    <definedName name="QB_ROW_230210" localSheetId="7" hidden="1">'Function Exp'!$C$21</definedName>
    <definedName name="QB_ROW_230210_1" localSheetId="7" hidden="1">'Function Exp'!$C$65</definedName>
    <definedName name="QB_ROW_231250" localSheetId="12" hidden="1">SOFP!#REF!</definedName>
    <definedName name="QB_ROW_2321" localSheetId="12" hidden="1">SOFP!#REF!</definedName>
    <definedName name="QB_ROW_233210" localSheetId="7" hidden="1">'Function Exp'!$C$23</definedName>
    <definedName name="QB_ROW_233210_1" localSheetId="7" hidden="1">'Function Exp'!$C$70</definedName>
    <definedName name="QB_ROW_2332600" localSheetId="7" hidden="1">'Function Exp'!$G$21</definedName>
    <definedName name="QB_ROW_240210" localSheetId="7" hidden="1">'Function Exp'!$C$24</definedName>
    <definedName name="QB_ROW_243210" localSheetId="7" hidden="1">'Function Exp'!$C$26</definedName>
    <definedName name="QB_ROW_2512600" localSheetId="7" hidden="1">'Function Exp'!$G$36</definedName>
    <definedName name="QB_ROW_252300" localSheetId="7" hidden="1">'Function Exp'!$D$25</definedName>
    <definedName name="QB_ROW_262400" localSheetId="7" hidden="1">'Function Exp'!$E$10</definedName>
    <definedName name="QB_ROW_282220" localSheetId="12" hidden="1">SOFP!#REF!</definedName>
    <definedName name="QB_ROW_283220" localSheetId="12" hidden="1">SOFP!#REF!</definedName>
    <definedName name="QB_ROW_290220" localSheetId="12" hidden="1">SOFP!#REF!</definedName>
    <definedName name="QB_ROW_291220" localSheetId="12" hidden="1">SOFP!#REF!</definedName>
    <definedName name="QB_ROW_292220" localSheetId="12" hidden="1">SOFP!#REF!</definedName>
    <definedName name="QB_ROW_295220" localSheetId="12" hidden="1">SOFP!#REF!</definedName>
    <definedName name="QB_ROW_298240" localSheetId="12" hidden="1">SOFP!#REF!</definedName>
    <definedName name="QB_ROW_301" localSheetId="12" hidden="1">SOFP!#REF!</definedName>
    <definedName name="QB_ROW_3021" localSheetId="12" hidden="1">SOFP!#REF!</definedName>
    <definedName name="QB_ROW_322600" localSheetId="7" hidden="1">'Function Exp'!$G$41</definedName>
    <definedName name="QB_ROW_3321" localSheetId="12" hidden="1">SOFP!#REF!</definedName>
    <definedName name="QB_ROW_33240" localSheetId="12" hidden="1">SOFP!#REF!</definedName>
    <definedName name="QB_ROW_332700" localSheetId="7" hidden="1">'Function Exp'!$H$25</definedName>
    <definedName name="QB_ROW_333240" localSheetId="12" hidden="1">SOFP!#REF!</definedName>
    <definedName name="QB_ROW_342600" localSheetId="7" hidden="1">'Function Exp'!$G$43</definedName>
    <definedName name="QB_ROW_3442500" localSheetId="7" hidden="1">'Function Exp'!$F$16</definedName>
    <definedName name="QB_ROW_345030" localSheetId="8" hidden="1">SOR!#REF!</definedName>
    <definedName name="QB_ROW_345330" localSheetId="8" hidden="1">SOR!#REF!</definedName>
    <definedName name="QB_ROW_346040" localSheetId="8" hidden="1">SOR!#REF!</definedName>
    <definedName name="QB_ROW_346340" localSheetId="8" hidden="1">SOR!#REF!</definedName>
    <definedName name="QB_ROW_347250" localSheetId="8" hidden="1">SOR!#REF!</definedName>
    <definedName name="QB_ROW_3532400" localSheetId="7" hidden="1">'Function Exp'!$E$67</definedName>
    <definedName name="QB_ROW_354040" localSheetId="8" hidden="1">SOR!#REF!</definedName>
    <definedName name="QB_ROW_3542400" localSheetId="7" hidden="1">'Function Exp'!$E$68</definedName>
    <definedName name="QB_ROW_354340" localSheetId="8" hidden="1">SOR!#REF!</definedName>
    <definedName name="QB_ROW_355250" localSheetId="8" hidden="1">SOR!#REF!</definedName>
    <definedName name="QB_ROW_356350" localSheetId="8" hidden="1">SOR!#REF!</definedName>
    <definedName name="QB_ROW_357250" localSheetId="8" hidden="1">SOR!#REF!</definedName>
    <definedName name="QB_ROW_358030" localSheetId="8" hidden="1">SOR!#REF!</definedName>
    <definedName name="QB_ROW_358330" localSheetId="8" hidden="1">SOR!#REF!</definedName>
    <definedName name="QB_ROW_359040" localSheetId="8" hidden="1">SOR!#REF!</definedName>
    <definedName name="QB_ROW_359340" localSheetId="8" hidden="1">SOR!#REF!</definedName>
    <definedName name="QB_ROW_362250" localSheetId="8" hidden="1">SOR!#REF!</definedName>
    <definedName name="QB_ROW_363040" localSheetId="8" hidden="1">SOR!#REF!</definedName>
    <definedName name="QB_ROW_363340" localSheetId="8" hidden="1">SOR!#REF!</definedName>
    <definedName name="QB_ROW_364250" localSheetId="8" hidden="1">SOR!#REF!</definedName>
    <definedName name="QB_ROW_365040" localSheetId="8" hidden="1">SOR!#REF!</definedName>
    <definedName name="QB_ROW_365340" localSheetId="8" hidden="1">SOR!#REF!</definedName>
    <definedName name="QB_ROW_366250" localSheetId="8" hidden="1">SOR!#REF!</definedName>
    <definedName name="QB_ROW_367250" localSheetId="8" hidden="1">SOR!#REF!</definedName>
    <definedName name="QB_ROW_368030" localSheetId="8" hidden="1">SOR!#REF!</definedName>
    <definedName name="QB_ROW_368330" localSheetId="8" hidden="1">SOR!#REF!</definedName>
    <definedName name="QB_ROW_369240" localSheetId="8" hidden="1">SOR!#REF!</definedName>
    <definedName name="QB_ROW_370030" localSheetId="8" hidden="1">SOR!#REF!</definedName>
    <definedName name="QB_ROW_370330" localSheetId="8" hidden="1">SOR!#REF!</definedName>
    <definedName name="QB_ROW_371040" localSheetId="8" hidden="1">SOR!#REF!</definedName>
    <definedName name="QB_ROW_371340" localSheetId="8" hidden="1">SOR!#REF!</definedName>
    <definedName name="QB_ROW_3723500" localSheetId="7" hidden="1">'Function Exp'!$F$60</definedName>
    <definedName name="QB_ROW_373350" localSheetId="8" hidden="1">SOR!#REF!</definedName>
    <definedName name="QB_ROW_374260" localSheetId="8" hidden="1">SOR!$A$42</definedName>
    <definedName name="QB_ROW_375050" localSheetId="8" hidden="1">SOR!#REF!</definedName>
    <definedName name="QB_ROW_375350" localSheetId="8" hidden="1">SOR!#REF!</definedName>
    <definedName name="QB_ROW_376260" localSheetId="8" hidden="1">SOR!$A$43</definedName>
    <definedName name="QB_ROW_377040" localSheetId="8" hidden="1">SOR!#REF!</definedName>
    <definedName name="QB_ROW_377340" localSheetId="8" hidden="1">SOR!#REF!</definedName>
    <definedName name="QB_ROW_379250" localSheetId="8" hidden="1">SOR!#REF!</definedName>
    <definedName name="QB_ROW_380030" localSheetId="8" hidden="1">SOR!#REF!</definedName>
    <definedName name="QB_ROW_380330" localSheetId="8" hidden="1">SOR!#REF!</definedName>
    <definedName name="QB_ROW_381040" localSheetId="8" hidden="1">SOR!#REF!</definedName>
    <definedName name="QB_ROW_381340" localSheetId="8" hidden="1">SOR!#REF!</definedName>
    <definedName name="QB_ROW_382250" localSheetId="8" hidden="1">SOR!#REF!</definedName>
    <definedName name="QB_ROW_383250" localSheetId="8" hidden="1">SOR!#REF!</definedName>
    <definedName name="QB_ROW_384250" localSheetId="8" hidden="1">SOR!#REF!</definedName>
    <definedName name="QB_ROW_385250" localSheetId="8" hidden="1">SOR!#REF!</definedName>
    <definedName name="QB_ROW_386250" localSheetId="8" hidden="1">SOR!#REF!</definedName>
    <definedName name="QB_ROW_387250" localSheetId="8" hidden="1">SOR!#REF!</definedName>
    <definedName name="QB_ROW_388250" localSheetId="8" hidden="1">SOR!#REF!</definedName>
    <definedName name="QB_ROW_389040" localSheetId="8" hidden="1">SOR!#REF!</definedName>
    <definedName name="QB_ROW_389340" localSheetId="8" hidden="1">SOR!#REF!</definedName>
    <definedName name="QB_ROW_390250" localSheetId="8" hidden="1">SOR!#REF!</definedName>
    <definedName name="QB_ROW_391250" localSheetId="8" hidden="1">SOR!#REF!</definedName>
    <definedName name="QB_ROW_392040" localSheetId="8" hidden="1">SOR!#REF!</definedName>
    <definedName name="QB_ROW_392340" localSheetId="8" hidden="1">SOR!#REF!</definedName>
    <definedName name="QB_ROW_393250" localSheetId="8" hidden="1">SOR!#REF!</definedName>
    <definedName name="QB_ROW_394250" localSheetId="8" hidden="1">SOR!#REF!</definedName>
    <definedName name="QB_ROW_395250" localSheetId="8" hidden="1">SOR!#REF!</definedName>
    <definedName name="QB_ROW_397250" localSheetId="8" hidden="1">SOR!#REF!</definedName>
    <definedName name="QB_ROW_398250" localSheetId="8" hidden="1">SOR!#REF!</definedName>
    <definedName name="QB_ROW_399250" localSheetId="8" hidden="1">SOR!#REF!</definedName>
    <definedName name="QB_ROW_400040" localSheetId="8" hidden="1">SOR!#REF!</definedName>
    <definedName name="QB_ROW_400340" localSheetId="8" hidden="1">SOR!#REF!</definedName>
    <definedName name="QB_ROW_401250" localSheetId="8" hidden="1">SOR!#REF!</definedName>
    <definedName name="QB_ROW_4021" localSheetId="12" hidden="1">SOFP!#REF!</definedName>
    <definedName name="QB_ROW_402250" localSheetId="8" hidden="1">SOR!#REF!</definedName>
    <definedName name="QB_ROW_403040" localSheetId="8" hidden="1">SOR!#REF!</definedName>
    <definedName name="QB_ROW_403340" localSheetId="8" hidden="1">SOR!#REF!</definedName>
    <definedName name="QB_ROW_404250" localSheetId="8" hidden="1">SOR!#REF!</definedName>
    <definedName name="QB_ROW_405250" localSheetId="8" hidden="1">SOR!#REF!</definedName>
    <definedName name="QB_ROW_406250" localSheetId="8" hidden="1">SOR!#REF!</definedName>
    <definedName name="QB_ROW_407250" localSheetId="8" hidden="1">SOR!#REF!</definedName>
    <definedName name="QB_ROW_408250" localSheetId="8" hidden="1">SOR!#REF!</definedName>
    <definedName name="QB_ROW_409260" localSheetId="8" hidden="1">SOR!$A$38</definedName>
    <definedName name="QB_ROW_410260" localSheetId="8" hidden="1">SOR!$A$39</definedName>
    <definedName name="QB_ROW_411260" localSheetId="8" hidden="1">SOR!$A$40</definedName>
    <definedName name="QB_ROW_413030" localSheetId="12" hidden="1">SOFP!#REF!</definedName>
    <definedName name="QB_ROW_413330" localSheetId="12" hidden="1">SOFP!#REF!</definedName>
    <definedName name="QB_ROW_414040" localSheetId="12" hidden="1">SOFP!#REF!</definedName>
    <definedName name="QB_ROW_414340" localSheetId="12" hidden="1">SOFP!#REF!</definedName>
    <definedName name="QB_ROW_415040" localSheetId="12" hidden="1">SOFP!#REF!</definedName>
    <definedName name="QB_ROW_415340" localSheetId="12" hidden="1">SOFP!#REF!</definedName>
    <definedName name="QB_ROW_416250" localSheetId="12" hidden="1">SOFP!#REF!</definedName>
    <definedName name="QB_ROW_417250" localSheetId="8" hidden="1">SOR!#REF!</definedName>
    <definedName name="QB_ROW_418250" localSheetId="8" hidden="1">SOR!#REF!</definedName>
    <definedName name="QB_ROW_419250" localSheetId="8" hidden="1">SOR!#REF!</definedName>
    <definedName name="QB_ROW_420250" localSheetId="8" hidden="1">SOR!#REF!</definedName>
    <definedName name="QB_ROW_421250" localSheetId="8" hidden="1">SOR!#REF!</definedName>
    <definedName name="QB_ROW_422700" localSheetId="7" hidden="1">'Function Exp'!$H$24</definedName>
    <definedName name="QB_ROW_424260" localSheetId="8" hidden="1">SOR!$A$41</definedName>
    <definedName name="QB_ROW_425220" localSheetId="12" hidden="1">SOFP!#REF!</definedName>
    <definedName name="QB_ROW_426250" localSheetId="8" hidden="1">SOR!#REF!</definedName>
    <definedName name="QB_ROW_4321" localSheetId="12" hidden="1">SOFP!#REF!</definedName>
    <definedName name="QB_ROW_433250" localSheetId="8" hidden="1">SOR!#REF!</definedName>
    <definedName name="QB_ROW_438050" localSheetId="12" hidden="1">SOFP!#REF!</definedName>
    <definedName name="QB_ROW_438350" localSheetId="12" hidden="1">SOFP!#REF!</definedName>
    <definedName name="QB_ROW_439260" localSheetId="12" hidden="1">SOFP!$B$15</definedName>
    <definedName name="QB_ROW_440260" localSheetId="12" hidden="1">SOFP!$B$16</definedName>
    <definedName name="QB_ROW_443250" localSheetId="12" hidden="1">SOFP!#REF!</definedName>
    <definedName name="QB_ROW_448250" localSheetId="8" hidden="1">SOR!#REF!</definedName>
    <definedName name="QB_ROW_449250" localSheetId="8" hidden="1">SOR!#REF!</definedName>
    <definedName name="QB_ROW_4500300" localSheetId="7" hidden="1">'Function Exp'!$D$66</definedName>
    <definedName name="QB_ROW_4503300" localSheetId="7" hidden="1">'Function Exp'!$D$22</definedName>
    <definedName name="QB_ROW_4503300_1" localSheetId="7" hidden="1">'Function Exp'!$D$69</definedName>
    <definedName name="QB_ROW_4512400" localSheetId="7" hidden="1">'Function Exp'!$E$11</definedName>
    <definedName name="QB_ROW_452240" localSheetId="12" hidden="1">SOFP!#REF!</definedName>
    <definedName name="QB_ROW_452600" localSheetId="7" hidden="1">'Function Exp'!$G$46</definedName>
    <definedName name="QB_ROW_455220" localSheetId="12" hidden="1">SOFP!#REF!</definedName>
    <definedName name="QB_ROW_456220" localSheetId="12" hidden="1">SOFP!#REF!</definedName>
    <definedName name="QB_ROW_460220" localSheetId="12" hidden="1">SOFP!#REF!</definedName>
    <definedName name="QB_ROW_4622700" localSheetId="7" hidden="1">'Function Exp'!$H$31</definedName>
    <definedName name="QB_ROW_4632700" localSheetId="7" hidden="1">'Function Exp'!$H$30</definedName>
    <definedName name="QB_ROW_4652600" localSheetId="7" hidden="1">'Function Exp'!$G$56</definedName>
    <definedName name="QB_ROW_468240" localSheetId="12" hidden="1">SOFP!#REF!</definedName>
    <definedName name="QB_ROW_469240" localSheetId="12" hidden="1">SOFP!#REF!</definedName>
    <definedName name="QB_ROW_470240" localSheetId="12" hidden="1">SOFP!#REF!</definedName>
    <definedName name="QB_ROW_471240" localSheetId="12" hidden="1">SOFP!#REF!</definedName>
    <definedName name="QB_ROW_472250" localSheetId="12" hidden="1">SOFP!#REF!</definedName>
    <definedName name="QB_ROW_4723400" localSheetId="7" hidden="1">'Function Exp'!$E$7</definedName>
    <definedName name="QB_ROW_4912600" localSheetId="7" hidden="1">'Function Exp'!$G$40</definedName>
    <definedName name="QB_ROW_5011" localSheetId="12" hidden="1">SOFP!#REF!</definedName>
    <definedName name="QB_ROW_5032700" localSheetId="7" hidden="1">'Function Exp'!$H$29</definedName>
    <definedName name="QB_ROW_52220" localSheetId="12" hidden="1">SOFP!#REF!</definedName>
    <definedName name="QB_ROW_5252600" localSheetId="7" hidden="1">'Function Exp'!$G$42</definedName>
    <definedName name="QB_ROW_5311" localSheetId="12" hidden="1">SOFP!#REF!</definedName>
    <definedName name="QB_ROW_542600" localSheetId="7" hidden="1">'Function Exp'!$G$35</definedName>
    <definedName name="QB_ROW_5540400" localSheetId="7" hidden="1">'Function Exp'!$E$59</definedName>
    <definedName name="QB_ROW_5543400" localSheetId="7" hidden="1">'Function Exp'!$E$17</definedName>
    <definedName name="QB_ROW_5543400_1" localSheetId="7" hidden="1">'Function Exp'!$E$61</definedName>
    <definedName name="QB_ROW_5770400" localSheetId="7" hidden="1">'Function Exp'!$E$18</definedName>
    <definedName name="QB_ROW_5773400" localSheetId="7" hidden="1">'Function Exp'!$E$16</definedName>
    <definedName name="QB_ROW_5773400_1" localSheetId="7" hidden="1">'Function Exp'!$E$58</definedName>
    <definedName name="QB_ROW_5783600" localSheetId="7" hidden="1">'Function Exp'!$G$55</definedName>
    <definedName name="QB_ROW_5790600" localSheetId="7" hidden="1">'Function Exp'!$G$49</definedName>
    <definedName name="QB_ROW_5793600" localSheetId="7" hidden="1">'Function Exp'!$G$54</definedName>
    <definedName name="QB_ROW_5810400" localSheetId="7" hidden="1">'Function Exp'!$E$15</definedName>
    <definedName name="QB_ROW_5813400" localSheetId="7" hidden="1">'Function Exp'!$E$15</definedName>
    <definedName name="QB_ROW_5813400_1" localSheetId="7" hidden="1">'Function Exp'!$E$17</definedName>
    <definedName name="QB_ROW_6011" localSheetId="12" hidden="1">SOFP!#REF!</definedName>
    <definedName name="QB_ROW_61020" localSheetId="12" hidden="1">SOFP!#REF!</definedName>
    <definedName name="QB_ROW_61230" localSheetId="12" hidden="1">SOFP!#REF!</definedName>
    <definedName name="QB_ROW_61320" localSheetId="12" hidden="1">SOFP!#REF!</definedName>
    <definedName name="QB_ROW_6311" localSheetId="12" hidden="1">SOFP!#REF!</definedName>
    <definedName name="QB_ROW_69220" localSheetId="12" hidden="1">SOFP!#REF!</definedName>
    <definedName name="QB_ROW_7001" localSheetId="12" hidden="1">SOFP!#REF!</definedName>
    <definedName name="QB_ROW_72220" localSheetId="12" hidden="1">SOFP!#REF!</definedName>
    <definedName name="QB_ROW_7301" localSheetId="12" hidden="1">SOFP!#REF!</definedName>
    <definedName name="QB_ROW_73400" localSheetId="7" hidden="1">'Function Exp'!$E$9</definedName>
    <definedName name="QB_ROW_772600" localSheetId="7" hidden="1">'Function Exp'!$G$20</definedName>
    <definedName name="QB_ROW_79240" localSheetId="12" hidden="1">SOFP!#REF!</definedName>
    <definedName name="QB_ROW_8011" localSheetId="12" hidden="1">SOFP!#REF!</definedName>
    <definedName name="QB_ROW_8311" localSheetId="12" hidden="1">SOFP!#REF!</definedName>
    <definedName name="QB_ROW_84230" localSheetId="12" hidden="1">SOFP!#REF!</definedName>
    <definedName name="QB_ROW_86311" localSheetId="8" hidden="1">SOR!#REF!</definedName>
    <definedName name="QB_ROW_863210" localSheetId="7" hidden="1">'Function Exp'!$C$13</definedName>
    <definedName name="QB_ROW_88250" localSheetId="12" hidden="1">SOFP!#REF!</definedName>
    <definedName name="QB_ROW_9021" localSheetId="12" hidden="1">SOFP!#REF!</definedName>
    <definedName name="QB_ROW_9321" localSheetId="12" hidden="1">SOFP!#REF!</definedName>
    <definedName name="QB_ROW_95230" localSheetId="12" hidden="1">SOFP!#REF!</definedName>
    <definedName name="QB_ROW_982700" localSheetId="7" hidden="1">'Function Exp'!$H$50</definedName>
    <definedName name="QBCANSUPPORTUPDATE" localSheetId="7">TRUE</definedName>
    <definedName name="QBCANSUPPORTUPDATE" localSheetId="12">TRUE</definedName>
    <definedName name="QBCANSUPPORTUPDATE" localSheetId="8">TRUE</definedName>
    <definedName name="QBCOMPANYFILENAME" localSheetId="7">"I:\Jewish Family Services.QBW"</definedName>
    <definedName name="QBCOMPANYFILENAME" localSheetId="12">"C:\ElCentroWorkingArchive\libertad.qbw"</definedName>
    <definedName name="QBCOMPANYFILENAME" localSheetId="8">"C:\ElCentroWorkingArchive\libertad.qbw"</definedName>
    <definedName name="QBENDDATE" localSheetId="7">20240630</definedName>
    <definedName name="QBENDDATE" localSheetId="12">20220630</definedName>
    <definedName name="QBENDDATE" localSheetId="8">20220630</definedName>
    <definedName name="QBHEADERSONSCREEN" localSheetId="7">FALSE</definedName>
    <definedName name="QBHEADERSONSCREEN" localSheetId="12">FALSE</definedName>
    <definedName name="QBHEADERSONSCREEN" localSheetId="8">FALSE</definedName>
    <definedName name="QBMETADATASIZE" localSheetId="7">5931</definedName>
    <definedName name="QBMETADATASIZE" localSheetId="12">5924</definedName>
    <definedName name="QBMETADATASIZE" localSheetId="8">5924</definedName>
    <definedName name="QBPRESERVECOLOR" localSheetId="7">TRUE</definedName>
    <definedName name="QBPRESERVECOLOR" localSheetId="12">TRUE</definedName>
    <definedName name="QBPRESERVECOLOR" localSheetId="8">TRUE</definedName>
    <definedName name="QBPRESERVEFONT" localSheetId="7">TRUE</definedName>
    <definedName name="QBPRESERVEFONT" localSheetId="12">TRUE</definedName>
    <definedName name="QBPRESERVEFONT" localSheetId="8">TRUE</definedName>
    <definedName name="QBPRESERVEROWHEIGHT" localSheetId="7">TRUE</definedName>
    <definedName name="QBPRESERVEROWHEIGHT" localSheetId="12">TRUE</definedName>
    <definedName name="QBPRESERVEROWHEIGHT" localSheetId="8">TRUE</definedName>
    <definedName name="QBPRESERVESPACE" localSheetId="7">TRUE</definedName>
    <definedName name="QBPRESERVESPACE" localSheetId="12">FALSE</definedName>
    <definedName name="QBPRESERVESPACE" localSheetId="8">FALSE</definedName>
    <definedName name="QBREPORTCOLAXIS" localSheetId="7">19</definedName>
    <definedName name="QBREPORTCOLAXIS" localSheetId="12">8</definedName>
    <definedName name="QBREPORTCOLAXIS" localSheetId="8">0</definedName>
    <definedName name="QBREPORTCOMPANYID" localSheetId="7">"1299d3132f084724aff0cb21db4a24c4"</definedName>
    <definedName name="QBREPORTCOMPANYID" localSheetId="12">"865a3afdace341f0871aaf9656bcdc8e"</definedName>
    <definedName name="QBREPORTCOMPANYID" localSheetId="8">"865a3afdace341f0871aaf9656bcdc8e"</definedName>
    <definedName name="QBREPORTCOMPARECOL_ANNUALBUDGET" localSheetId="7">FALSE</definedName>
    <definedName name="QBREPORTCOMPARECOL_ANNUALBUDGET" localSheetId="12">FALSE</definedName>
    <definedName name="QBREPORTCOMPARECOL_ANNUALBUDGET" localSheetId="8">FALSE</definedName>
    <definedName name="QBREPORTCOMPARECOL_AVGCOGS" localSheetId="7">FALSE</definedName>
    <definedName name="QBREPORTCOMPARECOL_AVGCOGS" localSheetId="12">FALSE</definedName>
    <definedName name="QBREPORTCOMPARECOL_AVGCOGS" localSheetId="8">FALSE</definedName>
    <definedName name="QBREPORTCOMPARECOL_AVGPRICE" localSheetId="7">FALSE</definedName>
    <definedName name="QBREPORTCOMPARECOL_AVGPRICE" localSheetId="12">FALSE</definedName>
    <definedName name="QBREPORTCOMPARECOL_AVGPRICE" localSheetId="8">FALSE</definedName>
    <definedName name="QBREPORTCOMPARECOL_BUDDIFF" localSheetId="7">FALSE</definedName>
    <definedName name="QBREPORTCOMPARECOL_BUDDIFF" localSheetId="12">FALSE</definedName>
    <definedName name="QBREPORTCOMPARECOL_BUDDIFF" localSheetId="8">FALSE</definedName>
    <definedName name="QBREPORTCOMPARECOL_BUDGET" localSheetId="7">FALSE</definedName>
    <definedName name="QBREPORTCOMPARECOL_BUDGET" localSheetId="12">FALSE</definedName>
    <definedName name="QBREPORTCOMPARECOL_BUDGET" localSheetId="8">FALSE</definedName>
    <definedName name="QBREPORTCOMPARECOL_BUDPCT" localSheetId="7">FALSE</definedName>
    <definedName name="QBREPORTCOMPARECOL_BUDPCT" localSheetId="12">FALSE</definedName>
    <definedName name="QBREPORTCOMPARECOL_BUDPCT" localSheetId="8">FALSE</definedName>
    <definedName name="QBREPORTCOMPARECOL_COGS" localSheetId="7">FALSE</definedName>
    <definedName name="QBREPORTCOMPARECOL_COGS" localSheetId="12">FALSE</definedName>
    <definedName name="QBREPORTCOMPARECOL_COGS" localSheetId="8">FALSE</definedName>
    <definedName name="QBREPORTCOMPARECOL_EXCLUDEAMOUNT" localSheetId="7">FALSE</definedName>
    <definedName name="QBREPORTCOMPARECOL_EXCLUDEAMOUNT" localSheetId="12">FALSE</definedName>
    <definedName name="QBREPORTCOMPARECOL_EXCLUDEAMOUNT" localSheetId="8">FALSE</definedName>
    <definedName name="QBREPORTCOMPARECOL_EXCLUDECURPERIOD" localSheetId="7">FALSE</definedName>
    <definedName name="QBREPORTCOMPARECOL_EXCLUDECURPERIOD" localSheetId="12">FALSE</definedName>
    <definedName name="QBREPORTCOMPARECOL_EXCLUDECURPERIOD" localSheetId="8">FALSE</definedName>
    <definedName name="QBREPORTCOMPARECOL_FORECAST" localSheetId="7">FALSE</definedName>
    <definedName name="QBREPORTCOMPARECOL_FORECAST" localSheetId="12">FALSE</definedName>
    <definedName name="QBREPORTCOMPARECOL_FORECAST" localSheetId="8">FALSE</definedName>
    <definedName name="QBREPORTCOMPARECOL_GROSSMARGIN" localSheetId="7">FALSE</definedName>
    <definedName name="QBREPORTCOMPARECOL_GROSSMARGIN" localSheetId="12">FALSE</definedName>
    <definedName name="QBREPORTCOMPARECOL_GROSSMARGIN" localSheetId="8">FALSE</definedName>
    <definedName name="QBREPORTCOMPARECOL_GROSSMARGINPCT" localSheetId="7">FALSE</definedName>
    <definedName name="QBREPORTCOMPARECOL_GROSSMARGINPCT" localSheetId="12">FALSE</definedName>
    <definedName name="QBREPORTCOMPARECOL_GROSSMARGINPCT" localSheetId="8">FALSE</definedName>
    <definedName name="QBREPORTCOMPARECOL_HOURS" localSheetId="7">FALSE</definedName>
    <definedName name="QBREPORTCOMPARECOL_HOURS" localSheetId="12">FALSE</definedName>
    <definedName name="QBREPORTCOMPARECOL_HOURS" localSheetId="8">FALSE</definedName>
    <definedName name="QBREPORTCOMPARECOL_PCTCOL" localSheetId="7">FALSE</definedName>
    <definedName name="QBREPORTCOMPARECOL_PCTCOL" localSheetId="12">FALSE</definedName>
    <definedName name="QBREPORTCOMPARECOL_PCTCOL" localSheetId="8">FALSE</definedName>
    <definedName name="QBREPORTCOMPARECOL_PCTEXPENSE" localSheetId="7">FALSE</definedName>
    <definedName name="QBREPORTCOMPARECOL_PCTEXPENSE" localSheetId="12">FALSE</definedName>
    <definedName name="QBREPORTCOMPARECOL_PCTEXPENSE" localSheetId="8">FALSE</definedName>
    <definedName name="QBREPORTCOMPARECOL_PCTINCOME" localSheetId="7">FALSE</definedName>
    <definedName name="QBREPORTCOMPARECOL_PCTINCOME" localSheetId="12">FALSE</definedName>
    <definedName name="QBREPORTCOMPARECOL_PCTINCOME" localSheetId="8">FALSE</definedName>
    <definedName name="QBREPORTCOMPARECOL_PCTOFSALES" localSheetId="7">FALSE</definedName>
    <definedName name="QBREPORTCOMPARECOL_PCTOFSALES" localSheetId="12">FALSE</definedName>
    <definedName name="QBREPORTCOMPARECOL_PCTOFSALES" localSheetId="8">FALSE</definedName>
    <definedName name="QBREPORTCOMPARECOL_PCTROW" localSheetId="7">FALSE</definedName>
    <definedName name="QBREPORTCOMPARECOL_PCTROW" localSheetId="12">FALSE</definedName>
    <definedName name="QBREPORTCOMPARECOL_PCTROW" localSheetId="8">FALSE</definedName>
    <definedName name="QBREPORTCOMPARECOL_PPDIFF" localSheetId="7">FALSE</definedName>
    <definedName name="QBREPORTCOMPARECOL_PPDIFF" localSheetId="12">FALSE</definedName>
    <definedName name="QBREPORTCOMPARECOL_PPDIFF" localSheetId="8">FALSE</definedName>
    <definedName name="QBREPORTCOMPARECOL_PPPCT" localSheetId="7">FALSE</definedName>
    <definedName name="QBREPORTCOMPARECOL_PPPCT" localSheetId="12">FALSE</definedName>
    <definedName name="QBREPORTCOMPARECOL_PPPCT" localSheetId="8">FALSE</definedName>
    <definedName name="QBREPORTCOMPARECOL_PREVPERIOD" localSheetId="7">FALSE</definedName>
    <definedName name="QBREPORTCOMPARECOL_PREVPERIOD" localSheetId="12">TRUE</definedName>
    <definedName name="QBREPORTCOMPARECOL_PREVPERIOD" localSheetId="8">FALSE</definedName>
    <definedName name="QBREPORTCOMPARECOL_PREVYEAR" localSheetId="7">FALSE</definedName>
    <definedName name="QBREPORTCOMPARECOL_PREVYEAR" localSheetId="12">FALSE</definedName>
    <definedName name="QBREPORTCOMPARECOL_PREVYEAR" localSheetId="8">FALSE</definedName>
    <definedName name="QBREPORTCOMPARECOL_PYDIFF" localSheetId="7">FALSE</definedName>
    <definedName name="QBREPORTCOMPARECOL_PYDIFF" localSheetId="12">FALSE</definedName>
    <definedName name="QBREPORTCOMPARECOL_PYDIFF" localSheetId="8">FALSE</definedName>
    <definedName name="QBREPORTCOMPARECOL_PYPCT" localSheetId="7">FALSE</definedName>
    <definedName name="QBREPORTCOMPARECOL_PYPCT" localSheetId="12">FALSE</definedName>
    <definedName name="QBREPORTCOMPARECOL_PYPCT" localSheetId="8">FALSE</definedName>
    <definedName name="QBREPORTCOMPARECOL_QTY" localSheetId="7">FALSE</definedName>
    <definedName name="QBREPORTCOMPARECOL_QTY" localSheetId="12">FALSE</definedName>
    <definedName name="QBREPORTCOMPARECOL_QTY" localSheetId="8">FALSE</definedName>
    <definedName name="QBREPORTCOMPARECOL_RATE" localSheetId="7">FALSE</definedName>
    <definedName name="QBREPORTCOMPARECOL_RATE" localSheetId="12">FALSE</definedName>
    <definedName name="QBREPORTCOMPARECOL_RATE" localSheetId="8">FALSE</definedName>
    <definedName name="QBREPORTCOMPARECOL_TRIPBILLEDMILES" localSheetId="7">FALSE</definedName>
    <definedName name="QBREPORTCOMPARECOL_TRIPBILLEDMILES" localSheetId="12">FALSE</definedName>
    <definedName name="QBREPORTCOMPARECOL_TRIPBILLEDMILES" localSheetId="8">FALSE</definedName>
    <definedName name="QBREPORTCOMPARECOL_TRIPBILLINGAMOUNT" localSheetId="7">FALSE</definedName>
    <definedName name="QBREPORTCOMPARECOL_TRIPBILLINGAMOUNT" localSheetId="12">FALSE</definedName>
    <definedName name="QBREPORTCOMPARECOL_TRIPBILLINGAMOUNT" localSheetId="8">FALSE</definedName>
    <definedName name="QBREPORTCOMPARECOL_TRIPMILES" localSheetId="7">FALSE</definedName>
    <definedName name="QBREPORTCOMPARECOL_TRIPMILES" localSheetId="12">FALSE</definedName>
    <definedName name="QBREPORTCOMPARECOL_TRIPMILES" localSheetId="8">FALSE</definedName>
    <definedName name="QBREPORTCOMPARECOL_TRIPNOTBILLABLEMILES" localSheetId="7">FALSE</definedName>
    <definedName name="QBREPORTCOMPARECOL_TRIPNOTBILLABLEMILES" localSheetId="12">FALSE</definedName>
    <definedName name="QBREPORTCOMPARECOL_TRIPNOTBILLABLEMILES" localSheetId="8">FALSE</definedName>
    <definedName name="QBREPORTCOMPARECOL_TRIPTAXDEDUCTIBLEAMOUNT" localSheetId="7">FALSE</definedName>
    <definedName name="QBREPORTCOMPARECOL_TRIPTAXDEDUCTIBLEAMOUNT" localSheetId="12">FALSE</definedName>
    <definedName name="QBREPORTCOMPARECOL_TRIPTAXDEDUCTIBLEAMOUNT" localSheetId="8">FALSE</definedName>
    <definedName name="QBREPORTCOMPARECOL_TRIPUNBILLEDMILES" localSheetId="7">FALSE</definedName>
    <definedName name="QBREPORTCOMPARECOL_TRIPUNBILLEDMILES" localSheetId="12">FALSE</definedName>
    <definedName name="QBREPORTCOMPARECOL_TRIPUNBILLEDMILES" localSheetId="8">FALSE</definedName>
    <definedName name="QBREPORTCOMPARECOL_YTD" localSheetId="7">FALSE</definedName>
    <definedName name="QBREPORTCOMPARECOL_YTD" localSheetId="12">FALSE</definedName>
    <definedName name="QBREPORTCOMPARECOL_YTD" localSheetId="8">FALSE</definedName>
    <definedName name="QBREPORTCOMPARECOL_YTDBUDGET" localSheetId="7">FALSE</definedName>
    <definedName name="QBREPORTCOMPARECOL_YTDBUDGET" localSheetId="12">FALSE</definedName>
    <definedName name="QBREPORTCOMPARECOL_YTDBUDGET" localSheetId="8">FALSE</definedName>
    <definedName name="QBREPORTCOMPARECOL_YTDPCT" localSheetId="7">FALSE</definedName>
    <definedName name="QBREPORTCOMPARECOL_YTDPCT" localSheetId="12">FALSE</definedName>
    <definedName name="QBREPORTCOMPARECOL_YTDPCT" localSheetId="8">FALSE</definedName>
    <definedName name="QBREPORTROWAXIS" localSheetId="7">11</definedName>
    <definedName name="QBREPORTROWAXIS" localSheetId="12">9</definedName>
    <definedName name="QBREPORTROWAXIS" localSheetId="8">11</definedName>
    <definedName name="QBREPORTSUBCOLAXIS" localSheetId="7">0</definedName>
    <definedName name="QBREPORTSUBCOLAXIS" localSheetId="12">24</definedName>
    <definedName name="QBREPORTSUBCOLAXIS" localSheetId="8">0</definedName>
    <definedName name="QBREPORTTYPE" localSheetId="7">3</definedName>
    <definedName name="QBREPORTTYPE" localSheetId="12">5</definedName>
    <definedName name="QBREPORTTYPE" localSheetId="8">0</definedName>
    <definedName name="QBREPORTTYPE_1" localSheetId="7">0</definedName>
    <definedName name="QBROWHEADERS" localSheetId="7">5</definedName>
    <definedName name="QBROWHEADERS" localSheetId="12">7</definedName>
    <definedName name="QBROWHEADERS" localSheetId="8">7</definedName>
    <definedName name="QBROWHEADERS_1" localSheetId="7">8</definedName>
    <definedName name="QBSTARTDATE" localSheetId="7">20230701</definedName>
    <definedName name="QBSTARTDATE" localSheetId="12">20220630</definedName>
    <definedName name="QBSTARTDATE" localSheetId="8">20210701</definedName>
    <definedName name="ReviewPercenta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0" l="1"/>
  <c r="E16" i="31" l="1"/>
  <c r="E15" i="31"/>
  <c r="H15" i="31" s="1"/>
  <c r="H53" i="31" l="1"/>
  <c r="J17" i="39" l="1"/>
  <c r="B41" i="26" l="1"/>
  <c r="G52" i="31" l="1"/>
  <c r="F52" i="31"/>
  <c r="E52" i="31"/>
  <c r="F51" i="31"/>
  <c r="H51" i="31"/>
  <c r="E51" i="31" s="1"/>
  <c r="G51" i="31" l="1"/>
  <c r="B20" i="26"/>
  <c r="B49" i="26" l="1"/>
  <c r="F66" i="31" l="1"/>
  <c r="D15" i="30" l="1"/>
  <c r="J6" i="30" s="1"/>
  <c r="C15" i="30"/>
  <c r="J7" i="30" s="1"/>
  <c r="B15" i="30"/>
  <c r="J5" i="30" s="1"/>
  <c r="E14" i="30"/>
  <c r="E15" i="30" s="1"/>
  <c r="D68" i="27"/>
  <c r="D67" i="27"/>
  <c r="F67" i="31"/>
  <c r="G67" i="31"/>
  <c r="D8" i="30"/>
  <c r="C8" i="30"/>
  <c r="D5" i="30"/>
  <c r="C5" i="30"/>
  <c r="B61" i="26" l="1"/>
  <c r="C61" i="26" s="1"/>
  <c r="B60" i="26"/>
  <c r="E60" i="26" s="1"/>
  <c r="E49" i="26"/>
  <c r="B51" i="26"/>
  <c r="B62" i="26" l="1"/>
  <c r="D49" i="27"/>
  <c r="G55" i="31" l="1"/>
  <c r="G54" i="31" s="1"/>
  <c r="F55" i="31"/>
  <c r="F54" i="31" s="1"/>
  <c r="D55" i="31"/>
  <c r="C55" i="31"/>
  <c r="B55" i="31"/>
  <c r="CW69" i="40"/>
  <c r="CW70" i="40" s="1"/>
  <c r="CQ69" i="40"/>
  <c r="CQ70" i="40" s="1"/>
  <c r="CO69" i="40"/>
  <c r="CO70" i="40" s="1"/>
  <c r="CK69" i="40"/>
  <c r="CK70" i="40" s="1"/>
  <c r="CI69" i="40"/>
  <c r="CI70" i="40" s="1"/>
  <c r="CG69" i="40"/>
  <c r="CG70" i="40" s="1"/>
  <c r="CE69" i="40"/>
  <c r="CE70" i="40" s="1"/>
  <c r="CC69" i="40"/>
  <c r="CC70" i="40" s="1"/>
  <c r="CA69" i="40"/>
  <c r="CA70" i="40" s="1"/>
  <c r="BY69" i="40"/>
  <c r="BY70" i="40" s="1"/>
  <c r="BW69" i="40"/>
  <c r="BW70" i="40" s="1"/>
  <c r="BU69" i="40"/>
  <c r="BS69" i="40"/>
  <c r="BS70" i="40" s="1"/>
  <c r="BQ69" i="40"/>
  <c r="BQ70" i="40" s="1"/>
  <c r="BK69" i="40"/>
  <c r="BK70" i="40" s="1"/>
  <c r="BI69" i="40"/>
  <c r="BI70" i="40" s="1"/>
  <c r="BG69" i="40"/>
  <c r="BG70" i="40" s="1"/>
  <c r="BE69" i="40"/>
  <c r="BE70" i="40" s="1"/>
  <c r="BC69" i="40"/>
  <c r="BC70" i="40" s="1"/>
  <c r="BA69" i="40"/>
  <c r="BA70" i="40" s="1"/>
  <c r="AY69" i="40"/>
  <c r="AY70" i="40" s="1"/>
  <c r="AW69" i="40"/>
  <c r="AU69" i="40"/>
  <c r="AU70" i="40" s="1"/>
  <c r="AS69" i="40"/>
  <c r="AS70" i="40" s="1"/>
  <c r="AO69" i="40"/>
  <c r="AO70" i="40" s="1"/>
  <c r="AM69" i="40"/>
  <c r="AM70" i="40" s="1"/>
  <c r="AK69" i="40"/>
  <c r="AK70" i="40" s="1"/>
  <c r="AI69" i="40"/>
  <c r="AI70" i="40" s="1"/>
  <c r="AE69" i="40"/>
  <c r="AE70" i="40" s="1"/>
  <c r="AC69" i="40"/>
  <c r="AC70" i="40" s="1"/>
  <c r="AA69" i="40"/>
  <c r="Y69" i="40"/>
  <c r="Y70" i="40" s="1"/>
  <c r="W69" i="40"/>
  <c r="W70" i="40" s="1"/>
  <c r="S69" i="40"/>
  <c r="S70" i="40" s="1"/>
  <c r="Q69" i="40"/>
  <c r="Q70" i="40" s="1"/>
  <c r="O69" i="40"/>
  <c r="K69" i="40"/>
  <c r="K70" i="40" s="1"/>
  <c r="I69" i="40"/>
  <c r="I70" i="40" s="1"/>
  <c r="CM68" i="40"/>
  <c r="CS68" i="40" s="1"/>
  <c r="BM68" i="40"/>
  <c r="AQ68" i="40"/>
  <c r="AG68" i="40"/>
  <c r="U68" i="40"/>
  <c r="M68" i="40"/>
  <c r="CM67" i="40"/>
  <c r="CS67" i="40" s="1"/>
  <c r="BM67" i="40"/>
  <c r="AQ67" i="40"/>
  <c r="AG67" i="40"/>
  <c r="U67" i="40"/>
  <c r="M67" i="40"/>
  <c r="DC66" i="40"/>
  <c r="DA66" i="40"/>
  <c r="DC65" i="40"/>
  <c r="DA65" i="40"/>
  <c r="DC64" i="40"/>
  <c r="DA64" i="40"/>
  <c r="CW61" i="40"/>
  <c r="CQ61" i="40"/>
  <c r="CO61" i="40"/>
  <c r="CK61" i="40"/>
  <c r="CI61" i="40"/>
  <c r="CG61" i="40"/>
  <c r="CE61" i="40"/>
  <c r="CC61" i="40"/>
  <c r="CA61" i="40"/>
  <c r="BY61" i="40"/>
  <c r="BW61" i="40"/>
  <c r="BU61" i="40"/>
  <c r="BS61" i="40"/>
  <c r="BQ61" i="40"/>
  <c r="BK61" i="40"/>
  <c r="BI61" i="40"/>
  <c r="BG61" i="40"/>
  <c r="BE61" i="40"/>
  <c r="BC61" i="40"/>
  <c r="BA61" i="40"/>
  <c r="AY61" i="40"/>
  <c r="AW61" i="40"/>
  <c r="AU61" i="40"/>
  <c r="AS61" i="40"/>
  <c r="AO61" i="40"/>
  <c r="AM61" i="40"/>
  <c r="AK61" i="40"/>
  <c r="AI61" i="40"/>
  <c r="AE61" i="40"/>
  <c r="AC61" i="40"/>
  <c r="AA61" i="40"/>
  <c r="Y61" i="40"/>
  <c r="W61" i="40"/>
  <c r="S61" i="40"/>
  <c r="Q61" i="40"/>
  <c r="O61" i="40"/>
  <c r="K61" i="40"/>
  <c r="I61" i="40"/>
  <c r="CM60" i="40"/>
  <c r="CS60" i="40" s="1"/>
  <c r="BM60" i="40"/>
  <c r="AQ60" i="40"/>
  <c r="AG60" i="40"/>
  <c r="U60" i="40"/>
  <c r="M60" i="40"/>
  <c r="DC59" i="40"/>
  <c r="DA59" i="40"/>
  <c r="CM56" i="40"/>
  <c r="CS56" i="40" s="1"/>
  <c r="BM56" i="40"/>
  <c r="AQ56" i="40"/>
  <c r="AG56" i="40"/>
  <c r="U56" i="40"/>
  <c r="G38" i="31" s="1"/>
  <c r="M56" i="40"/>
  <c r="F38" i="31" s="1"/>
  <c r="CM55" i="40"/>
  <c r="CS55" i="40" s="1"/>
  <c r="BM55" i="40"/>
  <c r="AQ55" i="40"/>
  <c r="AG55" i="40"/>
  <c r="U55" i="40"/>
  <c r="M55" i="40"/>
  <c r="CW54" i="40"/>
  <c r="CW57" i="40" s="1"/>
  <c r="CQ54" i="40"/>
  <c r="CQ57" i="40" s="1"/>
  <c r="CO54" i="40"/>
  <c r="CO57" i="40" s="1"/>
  <c r="CK54" i="40"/>
  <c r="CK57" i="40" s="1"/>
  <c r="CI54" i="40"/>
  <c r="CI57" i="40" s="1"/>
  <c r="CG54" i="40"/>
  <c r="CG57" i="40" s="1"/>
  <c r="CE54" i="40"/>
  <c r="CE57" i="40" s="1"/>
  <c r="CC54" i="40"/>
  <c r="CC57" i="40" s="1"/>
  <c r="CA54" i="40"/>
  <c r="CA57" i="40" s="1"/>
  <c r="BY54" i="40"/>
  <c r="BY57" i="40" s="1"/>
  <c r="BW54" i="40"/>
  <c r="BW57" i="40" s="1"/>
  <c r="BU54" i="40"/>
  <c r="BU57" i="40" s="1"/>
  <c r="BS54" i="40"/>
  <c r="BS57" i="40" s="1"/>
  <c r="BQ54" i="40"/>
  <c r="BQ57" i="40" s="1"/>
  <c r="BK54" i="40"/>
  <c r="BK57" i="40" s="1"/>
  <c r="BI54" i="40"/>
  <c r="BI57" i="40" s="1"/>
  <c r="BG54" i="40"/>
  <c r="BG57" i="40" s="1"/>
  <c r="BE54" i="40"/>
  <c r="BE57" i="40" s="1"/>
  <c r="BC54" i="40"/>
  <c r="BC57" i="40" s="1"/>
  <c r="BA54" i="40"/>
  <c r="BA57" i="40" s="1"/>
  <c r="AY54" i="40"/>
  <c r="AY57" i="40" s="1"/>
  <c r="AW54" i="40"/>
  <c r="AW57" i="40" s="1"/>
  <c r="AU54" i="40"/>
  <c r="AU57" i="40" s="1"/>
  <c r="AS54" i="40"/>
  <c r="AS57" i="40" s="1"/>
  <c r="AO54" i="40"/>
  <c r="AO57" i="40" s="1"/>
  <c r="AM54" i="40"/>
  <c r="AM57" i="40" s="1"/>
  <c r="AK54" i="40"/>
  <c r="AK57" i="40" s="1"/>
  <c r="AI54" i="40"/>
  <c r="AI57" i="40" s="1"/>
  <c r="AE54" i="40"/>
  <c r="AE57" i="40" s="1"/>
  <c r="AC54" i="40"/>
  <c r="AA54" i="40"/>
  <c r="AA57" i="40" s="1"/>
  <c r="Y54" i="40"/>
  <c r="Y57" i="40" s="1"/>
  <c r="W54" i="40"/>
  <c r="W57" i="40" s="1"/>
  <c r="S54" i="40"/>
  <c r="S57" i="40" s="1"/>
  <c r="Q54" i="40"/>
  <c r="O54" i="40"/>
  <c r="O57" i="40" s="1"/>
  <c r="K54" i="40"/>
  <c r="K57" i="40" s="1"/>
  <c r="I54" i="40"/>
  <c r="I57" i="40" s="1"/>
  <c r="CM53" i="40"/>
  <c r="CS53" i="40" s="1"/>
  <c r="BM53" i="40"/>
  <c r="AQ53" i="40"/>
  <c r="AG53" i="40"/>
  <c r="DA53" i="40" s="1"/>
  <c r="U53" i="40"/>
  <c r="M53" i="40"/>
  <c r="CM52" i="40"/>
  <c r="CS52" i="40" s="1"/>
  <c r="BM52" i="40"/>
  <c r="AQ52" i="40"/>
  <c r="AG52" i="40"/>
  <c r="DA52" i="40" s="1"/>
  <c r="U52" i="40"/>
  <c r="M52" i="40"/>
  <c r="CM51" i="40"/>
  <c r="CS51" i="40" s="1"/>
  <c r="BM51" i="40"/>
  <c r="AQ51" i="40"/>
  <c r="AG51" i="40"/>
  <c r="DA51" i="40" s="1"/>
  <c r="U51" i="40"/>
  <c r="D7" i="30" s="1"/>
  <c r="M51" i="40"/>
  <c r="C7" i="30" s="1"/>
  <c r="CM50" i="40"/>
  <c r="CS50" i="40" s="1"/>
  <c r="BM50" i="40"/>
  <c r="AQ50" i="40"/>
  <c r="AG50" i="40"/>
  <c r="DA50" i="40" s="1"/>
  <c r="U50" i="40"/>
  <c r="D6" i="30" s="1"/>
  <c r="M50" i="40"/>
  <c r="C6" i="30" s="1"/>
  <c r="DC49" i="40"/>
  <c r="DA49" i="40"/>
  <c r="DC48" i="40"/>
  <c r="DA48" i="40"/>
  <c r="CW47" i="40"/>
  <c r="CQ47" i="40"/>
  <c r="CO47" i="40"/>
  <c r="CK47" i="40"/>
  <c r="CI47" i="40"/>
  <c r="CG47" i="40"/>
  <c r="CE47" i="40"/>
  <c r="CC47" i="40"/>
  <c r="CA47" i="40"/>
  <c r="BY47" i="40"/>
  <c r="BW47" i="40"/>
  <c r="BU47" i="40"/>
  <c r="BS47" i="40"/>
  <c r="BQ47" i="40"/>
  <c r="BK47" i="40"/>
  <c r="BI47" i="40"/>
  <c r="BG47" i="40"/>
  <c r="BE47" i="40"/>
  <c r="BC47" i="40"/>
  <c r="BA47" i="40"/>
  <c r="AY47" i="40"/>
  <c r="AW47" i="40"/>
  <c r="AU47" i="40"/>
  <c r="AS47" i="40"/>
  <c r="AO47" i="40"/>
  <c r="AM47" i="40"/>
  <c r="AK47" i="40"/>
  <c r="AI47" i="40"/>
  <c r="AE47" i="40"/>
  <c r="AC47" i="40"/>
  <c r="AA47" i="40"/>
  <c r="Y47" i="40"/>
  <c r="W47" i="40"/>
  <c r="S47" i="40"/>
  <c r="Q47" i="40"/>
  <c r="O47" i="40"/>
  <c r="K47" i="40"/>
  <c r="I47" i="40"/>
  <c r="CM46" i="40"/>
  <c r="CS46" i="40" s="1"/>
  <c r="BM46" i="40"/>
  <c r="AQ46" i="40"/>
  <c r="AG46" i="40"/>
  <c r="DA46" i="40" s="1"/>
  <c r="U46" i="40"/>
  <c r="M46" i="40"/>
  <c r="CM45" i="40"/>
  <c r="CS45" i="40" s="1"/>
  <c r="BM45" i="40"/>
  <c r="AQ45" i="40"/>
  <c r="AG45" i="40"/>
  <c r="DA45" i="40" s="1"/>
  <c r="U45" i="40"/>
  <c r="M45" i="40"/>
  <c r="CM44" i="40"/>
  <c r="CS44" i="40" s="1"/>
  <c r="BM44" i="40"/>
  <c r="AQ44" i="40"/>
  <c r="AG44" i="40"/>
  <c r="DA44" i="40" s="1"/>
  <c r="U44" i="40"/>
  <c r="M44" i="40"/>
  <c r="CM43" i="40"/>
  <c r="CS43" i="40" s="1"/>
  <c r="BM43" i="40"/>
  <c r="AQ43" i="40"/>
  <c r="AG43" i="40"/>
  <c r="DA43" i="40" s="1"/>
  <c r="U43" i="40"/>
  <c r="M43" i="40"/>
  <c r="CM42" i="40"/>
  <c r="CS42" i="40" s="1"/>
  <c r="BM42" i="40"/>
  <c r="AQ42" i="40"/>
  <c r="AG42" i="40"/>
  <c r="DA42" i="40" s="1"/>
  <c r="U42" i="40"/>
  <c r="M42" i="40"/>
  <c r="CM41" i="40"/>
  <c r="CS41" i="40" s="1"/>
  <c r="BM41" i="40"/>
  <c r="AQ41" i="40"/>
  <c r="AG41" i="40"/>
  <c r="DA41" i="40" s="1"/>
  <c r="U41" i="40"/>
  <c r="M41" i="40"/>
  <c r="CM40" i="40"/>
  <c r="CS40" i="40" s="1"/>
  <c r="BM40" i="40"/>
  <c r="AQ40" i="40"/>
  <c r="AG40" i="40"/>
  <c r="DA40" i="40" s="1"/>
  <c r="U40" i="40"/>
  <c r="M40" i="40"/>
  <c r="DC39" i="40"/>
  <c r="DA39" i="40"/>
  <c r="CM37" i="40"/>
  <c r="CS37" i="40" s="1"/>
  <c r="BM37" i="40"/>
  <c r="AQ37" i="40"/>
  <c r="AG37" i="40"/>
  <c r="DA37" i="40" s="1"/>
  <c r="U37" i="40"/>
  <c r="M37" i="40"/>
  <c r="CM36" i="40"/>
  <c r="CS36" i="40" s="1"/>
  <c r="BM36" i="40"/>
  <c r="AQ36" i="40"/>
  <c r="AG36" i="40"/>
  <c r="DA36" i="40" s="1"/>
  <c r="U36" i="40"/>
  <c r="M36" i="40"/>
  <c r="CM35" i="40"/>
  <c r="CS35" i="40" s="1"/>
  <c r="BM35" i="40"/>
  <c r="AQ35" i="40"/>
  <c r="AG35" i="40"/>
  <c r="U35" i="40"/>
  <c r="G59" i="31" s="1"/>
  <c r="M35" i="40"/>
  <c r="F59" i="31" s="1"/>
  <c r="CW34" i="40"/>
  <c r="CQ34" i="40"/>
  <c r="CO34" i="40"/>
  <c r="CK34" i="40"/>
  <c r="CI34" i="40"/>
  <c r="CG34" i="40"/>
  <c r="CE34" i="40"/>
  <c r="CC34" i="40"/>
  <c r="CA34" i="40"/>
  <c r="BY34" i="40"/>
  <c r="BW34" i="40"/>
  <c r="BU34" i="40"/>
  <c r="BS34" i="40"/>
  <c r="BQ34" i="40"/>
  <c r="BK34" i="40"/>
  <c r="BI34" i="40"/>
  <c r="BG34" i="40"/>
  <c r="BE34" i="40"/>
  <c r="BC34" i="40"/>
  <c r="BA34" i="40"/>
  <c r="AY34" i="40"/>
  <c r="AW34" i="40"/>
  <c r="AU34" i="40"/>
  <c r="AS34" i="40"/>
  <c r="AO34" i="40"/>
  <c r="AM34" i="40"/>
  <c r="AK34" i="40"/>
  <c r="AI34" i="40"/>
  <c r="AE34" i="40"/>
  <c r="AC34" i="40"/>
  <c r="AA34" i="40"/>
  <c r="Y34" i="40"/>
  <c r="W34" i="40"/>
  <c r="S34" i="40"/>
  <c r="Q34" i="40"/>
  <c r="O34" i="40"/>
  <c r="K34" i="40"/>
  <c r="I34" i="40"/>
  <c r="DA33" i="40"/>
  <c r="CM33" i="40"/>
  <c r="CS33" i="40" s="1"/>
  <c r="BM33" i="40"/>
  <c r="AQ33" i="40"/>
  <c r="AG33" i="40"/>
  <c r="U33" i="40"/>
  <c r="G40" i="31" s="1"/>
  <c r="M33" i="40"/>
  <c r="F40" i="31" s="1"/>
  <c r="CM32" i="40"/>
  <c r="CS32" i="40" s="1"/>
  <c r="BM32" i="40"/>
  <c r="AQ32" i="40"/>
  <c r="AG32" i="40"/>
  <c r="DA32" i="40" s="1"/>
  <c r="U32" i="40"/>
  <c r="G35" i="31" s="1"/>
  <c r="M32" i="40"/>
  <c r="F35" i="31" s="1"/>
  <c r="CM31" i="40"/>
  <c r="CS31" i="40" s="1"/>
  <c r="BM31" i="40"/>
  <c r="AQ31" i="40"/>
  <c r="AG31" i="40"/>
  <c r="DA31" i="40" s="1"/>
  <c r="U31" i="40"/>
  <c r="M31" i="40"/>
  <c r="F36" i="31" s="1"/>
  <c r="CM30" i="40"/>
  <c r="CS30" i="40" s="1"/>
  <c r="BM30" i="40"/>
  <c r="AQ30" i="40"/>
  <c r="AG30" i="40"/>
  <c r="DA30" i="40" s="1"/>
  <c r="U30" i="40"/>
  <c r="G39" i="31" s="1"/>
  <c r="M30" i="40"/>
  <c r="F39" i="31" s="1"/>
  <c r="CM29" i="40"/>
  <c r="CS29" i="40" s="1"/>
  <c r="BM29" i="40"/>
  <c r="AQ29" i="40"/>
  <c r="AG29" i="40"/>
  <c r="DA29" i="40" s="1"/>
  <c r="U29" i="40"/>
  <c r="M29" i="40"/>
  <c r="F37" i="31" s="1"/>
  <c r="DC28" i="40"/>
  <c r="DA28" i="40"/>
  <c r="CW27" i="40"/>
  <c r="CQ27" i="40"/>
  <c r="CO27" i="40"/>
  <c r="CK27" i="40"/>
  <c r="CI27" i="40"/>
  <c r="CG27" i="40"/>
  <c r="CE27" i="40"/>
  <c r="CC27" i="40"/>
  <c r="CA27" i="40"/>
  <c r="BY27" i="40"/>
  <c r="BW27" i="40"/>
  <c r="BU27" i="40"/>
  <c r="BS27" i="40"/>
  <c r="BQ27" i="40"/>
  <c r="BK27" i="40"/>
  <c r="BI27" i="40"/>
  <c r="BG27" i="40"/>
  <c r="BE27" i="40"/>
  <c r="BC27" i="40"/>
  <c r="BA27" i="40"/>
  <c r="AY27" i="40"/>
  <c r="AW27" i="40"/>
  <c r="AU27" i="40"/>
  <c r="AS27" i="40"/>
  <c r="AO27" i="40"/>
  <c r="AM27" i="40"/>
  <c r="AK27" i="40"/>
  <c r="AI27" i="40"/>
  <c r="AE27" i="40"/>
  <c r="AC27" i="40"/>
  <c r="AA27" i="40"/>
  <c r="Y27" i="40"/>
  <c r="W27" i="40"/>
  <c r="S27" i="40"/>
  <c r="Q27" i="40"/>
  <c r="O27" i="40"/>
  <c r="K27" i="40"/>
  <c r="I27" i="40"/>
  <c r="CM26" i="40"/>
  <c r="CS26" i="40" s="1"/>
  <c r="BM26" i="40"/>
  <c r="AQ26" i="40"/>
  <c r="AG26" i="40"/>
  <c r="U26" i="40"/>
  <c r="M26" i="40"/>
  <c r="CM25" i="40"/>
  <c r="CS25" i="40" s="1"/>
  <c r="BM25" i="40"/>
  <c r="AQ25" i="40"/>
  <c r="AG25" i="40"/>
  <c r="U25" i="40"/>
  <c r="M25" i="40"/>
  <c r="CM24" i="40"/>
  <c r="CS24" i="40" s="1"/>
  <c r="BM24" i="40"/>
  <c r="AQ24" i="40"/>
  <c r="AG24" i="40"/>
  <c r="U24" i="40"/>
  <c r="M24" i="40"/>
  <c r="DC23" i="40"/>
  <c r="DA23" i="40"/>
  <c r="CM22" i="40"/>
  <c r="CS22" i="40" s="1"/>
  <c r="BM22" i="40"/>
  <c r="AQ22" i="40"/>
  <c r="AG22" i="40"/>
  <c r="DA22" i="40" s="1"/>
  <c r="U22" i="40"/>
  <c r="G60" i="31" s="1"/>
  <c r="M22" i="40"/>
  <c r="F60" i="31" s="1"/>
  <c r="CM21" i="40"/>
  <c r="CS21" i="40" s="1"/>
  <c r="BM21" i="40"/>
  <c r="AQ21" i="40"/>
  <c r="AG21" i="40"/>
  <c r="DA21" i="40" s="1"/>
  <c r="U21" i="40"/>
  <c r="M21" i="40"/>
  <c r="CM20" i="40"/>
  <c r="CS20" i="40" s="1"/>
  <c r="BM20" i="40"/>
  <c r="AQ20" i="40"/>
  <c r="AG20" i="40"/>
  <c r="DA20" i="40" s="1"/>
  <c r="U20" i="40"/>
  <c r="M20" i="40"/>
  <c r="DC19" i="40"/>
  <c r="DA19" i="40"/>
  <c r="DC18" i="40"/>
  <c r="DA18" i="40"/>
  <c r="CW17" i="40"/>
  <c r="CQ17" i="40"/>
  <c r="CO17" i="40"/>
  <c r="CK17" i="40"/>
  <c r="CI17" i="40"/>
  <c r="CG17" i="40"/>
  <c r="CE17" i="40"/>
  <c r="CC17" i="40"/>
  <c r="CA17" i="40"/>
  <c r="BY17" i="40"/>
  <c r="BW17" i="40"/>
  <c r="BU17" i="40"/>
  <c r="BS17" i="40"/>
  <c r="BQ17" i="40"/>
  <c r="BK17" i="40"/>
  <c r="BI17" i="40"/>
  <c r="BG17" i="40"/>
  <c r="BE17" i="40"/>
  <c r="BC17" i="40"/>
  <c r="BA17" i="40"/>
  <c r="AY17" i="40"/>
  <c r="AW17" i="40"/>
  <c r="AU17" i="40"/>
  <c r="AS17" i="40"/>
  <c r="AO17" i="40"/>
  <c r="AM17" i="40"/>
  <c r="AK17" i="40"/>
  <c r="AI17" i="40"/>
  <c r="AE17" i="40"/>
  <c r="AC17" i="40"/>
  <c r="AA17" i="40"/>
  <c r="Y17" i="40"/>
  <c r="W17" i="40"/>
  <c r="S17" i="40"/>
  <c r="Q17" i="40"/>
  <c r="O17" i="40"/>
  <c r="K17" i="40"/>
  <c r="I17" i="40"/>
  <c r="CM16" i="40"/>
  <c r="CS16" i="40" s="1"/>
  <c r="BM16" i="40"/>
  <c r="AQ16" i="40"/>
  <c r="AG16" i="40"/>
  <c r="DA16" i="40" s="1"/>
  <c r="U16" i="40"/>
  <c r="M16" i="40"/>
  <c r="CW12" i="40"/>
  <c r="CW13" i="40" s="1"/>
  <c r="CQ12" i="40"/>
  <c r="CQ13" i="40" s="1"/>
  <c r="CO12" i="40"/>
  <c r="CO13" i="40" s="1"/>
  <c r="CK12" i="40"/>
  <c r="CI12" i="40"/>
  <c r="CI13" i="40" s="1"/>
  <c r="CG12" i="40"/>
  <c r="CG13" i="40" s="1"/>
  <c r="CE12" i="40"/>
  <c r="CE13" i="40" s="1"/>
  <c r="CC12" i="40"/>
  <c r="CC13" i="40" s="1"/>
  <c r="CA12" i="40"/>
  <c r="CA13" i="40" s="1"/>
  <c r="BY12" i="40"/>
  <c r="BY13" i="40" s="1"/>
  <c r="BW12" i="40"/>
  <c r="BW13" i="40" s="1"/>
  <c r="BU12" i="40"/>
  <c r="BU13" i="40" s="1"/>
  <c r="BS12" i="40"/>
  <c r="BS13" i="40" s="1"/>
  <c r="BQ12" i="40"/>
  <c r="BK12" i="40"/>
  <c r="BK13" i="40" s="1"/>
  <c r="BI12" i="40"/>
  <c r="BI13" i="40" s="1"/>
  <c r="BG12" i="40"/>
  <c r="BG13" i="40" s="1"/>
  <c r="BE12" i="40"/>
  <c r="BE13" i="40" s="1"/>
  <c r="BC12" i="40"/>
  <c r="BC13" i="40" s="1"/>
  <c r="BA12" i="40"/>
  <c r="BA13" i="40" s="1"/>
  <c r="AY12" i="40"/>
  <c r="AY13" i="40" s="1"/>
  <c r="AW12" i="40"/>
  <c r="AW13" i="40" s="1"/>
  <c r="AU12" i="40"/>
  <c r="AU13" i="40" s="1"/>
  <c r="AS12" i="40"/>
  <c r="AS13" i="40" s="1"/>
  <c r="AO12" i="40"/>
  <c r="AO13" i="40" s="1"/>
  <c r="AM12" i="40"/>
  <c r="AM13" i="40" s="1"/>
  <c r="AK12" i="40"/>
  <c r="AK13" i="40" s="1"/>
  <c r="AI12" i="40"/>
  <c r="AI13" i="40" s="1"/>
  <c r="AE12" i="40"/>
  <c r="AE13" i="40" s="1"/>
  <c r="AC12" i="40"/>
  <c r="AC13" i="40" s="1"/>
  <c r="AA12" i="40"/>
  <c r="AA13" i="40" s="1"/>
  <c r="Y12" i="40"/>
  <c r="Y13" i="40" s="1"/>
  <c r="W12" i="40"/>
  <c r="W13" i="40" s="1"/>
  <c r="S12" i="40"/>
  <c r="S13" i="40" s="1"/>
  <c r="Q12" i="40"/>
  <c r="Q13" i="40" s="1"/>
  <c r="O12" i="40"/>
  <c r="O13" i="40" s="1"/>
  <c r="K12" i="40"/>
  <c r="K13" i="40" s="1"/>
  <c r="I12" i="40"/>
  <c r="CM11" i="40"/>
  <c r="CS11" i="40" s="1"/>
  <c r="BM11" i="40"/>
  <c r="AQ11" i="40"/>
  <c r="AG11" i="40"/>
  <c r="U11" i="40"/>
  <c r="M11" i="40"/>
  <c r="CM10" i="40"/>
  <c r="CS10" i="40" s="1"/>
  <c r="BM10" i="40"/>
  <c r="AQ10" i="40"/>
  <c r="AG10" i="40"/>
  <c r="U10" i="40"/>
  <c r="M10" i="40"/>
  <c r="CM9" i="40"/>
  <c r="CS9" i="40" s="1"/>
  <c r="BM9" i="40"/>
  <c r="AQ9" i="40"/>
  <c r="AG9" i="40"/>
  <c r="U9" i="40"/>
  <c r="M9" i="40"/>
  <c r="CM8" i="40"/>
  <c r="CS8" i="40" s="1"/>
  <c r="BM8" i="40"/>
  <c r="AQ8" i="40"/>
  <c r="AG8" i="40"/>
  <c r="U8" i="40"/>
  <c r="M8" i="40"/>
  <c r="CM7" i="40"/>
  <c r="CS7" i="40" s="1"/>
  <c r="BM7" i="40"/>
  <c r="AQ7" i="40"/>
  <c r="AG7" i="40"/>
  <c r="U7" i="40"/>
  <c r="M7" i="40"/>
  <c r="CM6" i="40"/>
  <c r="CS6" i="40" s="1"/>
  <c r="BM6" i="40"/>
  <c r="AQ6" i="40"/>
  <c r="AG6" i="40"/>
  <c r="U6" i="40"/>
  <c r="M6" i="40"/>
  <c r="CM5" i="40"/>
  <c r="CS5" i="40" s="1"/>
  <c r="BM5" i="40"/>
  <c r="AQ5" i="40"/>
  <c r="AG5" i="40"/>
  <c r="U5" i="40"/>
  <c r="M5" i="40"/>
  <c r="U61" i="40" l="1"/>
  <c r="AS38" i="40"/>
  <c r="AS58" i="40" s="1"/>
  <c r="BE38" i="40"/>
  <c r="BE58" i="40" s="1"/>
  <c r="BE62" i="40" s="1"/>
  <c r="BE63" i="40" s="1"/>
  <c r="BU38" i="40"/>
  <c r="BU58" i="40" s="1"/>
  <c r="BU62" i="40" s="1"/>
  <c r="BU63" i="40" s="1"/>
  <c r="DC25" i="40"/>
  <c r="DC21" i="40"/>
  <c r="BO46" i="40"/>
  <c r="CU46" i="40" s="1"/>
  <c r="CY46" i="40" s="1"/>
  <c r="K38" i="40"/>
  <c r="K58" i="40" s="1"/>
  <c r="K62" i="40" s="1"/>
  <c r="K63" i="40" s="1"/>
  <c r="DC40" i="40"/>
  <c r="BO42" i="40"/>
  <c r="CU42" i="40" s="1"/>
  <c r="CY42" i="40" s="1"/>
  <c r="DC22" i="40"/>
  <c r="DC41" i="40"/>
  <c r="M61" i="40"/>
  <c r="AQ70" i="40"/>
  <c r="DC36" i="40"/>
  <c r="CM17" i="40"/>
  <c r="CS17" i="40" s="1"/>
  <c r="BO20" i="40"/>
  <c r="CU20" i="40" s="1"/>
  <c r="CY20" i="40" s="1"/>
  <c r="AI38" i="40"/>
  <c r="AI58" i="40" s="1"/>
  <c r="AW38" i="40"/>
  <c r="AW58" i="40" s="1"/>
  <c r="AW62" i="40" s="1"/>
  <c r="AW63" i="40" s="1"/>
  <c r="BI38" i="40"/>
  <c r="BI58" i="40" s="1"/>
  <c r="BI62" i="40" s="1"/>
  <c r="BI63" i="40" s="1"/>
  <c r="M34" i="40"/>
  <c r="AQ34" i="40"/>
  <c r="DC44" i="40"/>
  <c r="DC45" i="40"/>
  <c r="CM47" i="40"/>
  <c r="CS47" i="40" s="1"/>
  <c r="BO8" i="40"/>
  <c r="CU8" i="40" s="1"/>
  <c r="CY8" i="40" s="1"/>
  <c r="U47" i="40"/>
  <c r="M57" i="40"/>
  <c r="DC16" i="40"/>
  <c r="I38" i="40"/>
  <c r="I58" i="40" s="1"/>
  <c r="I62" i="40" s="1"/>
  <c r="Y38" i="40"/>
  <c r="Y58" i="40" s="1"/>
  <c r="Y62" i="40" s="1"/>
  <c r="Y63" i="40" s="1"/>
  <c r="AM38" i="40"/>
  <c r="AM58" i="40" s="1"/>
  <c r="AM62" i="40" s="1"/>
  <c r="AM63" i="40" s="1"/>
  <c r="BQ38" i="40"/>
  <c r="BQ58" i="40" s="1"/>
  <c r="BQ62" i="40" s="1"/>
  <c r="CC38" i="40"/>
  <c r="CC58" i="40" s="1"/>
  <c r="CC62" i="40" s="1"/>
  <c r="CC63" i="40" s="1"/>
  <c r="CQ38" i="40"/>
  <c r="CQ58" i="40" s="1"/>
  <c r="Q38" i="40"/>
  <c r="G61" i="31"/>
  <c r="AQ47" i="40"/>
  <c r="DC53" i="40"/>
  <c r="BO22" i="40"/>
  <c r="CU22" i="40" s="1"/>
  <c r="E60" i="31" s="1"/>
  <c r="DC26" i="40"/>
  <c r="M27" i="40"/>
  <c r="BS38" i="40"/>
  <c r="BS58" i="40" s="1"/>
  <c r="BS62" i="40" s="1"/>
  <c r="BS63" i="40" s="1"/>
  <c r="CE38" i="40"/>
  <c r="CE58" i="40" s="1"/>
  <c r="CE62" i="40" s="1"/>
  <c r="CE63" i="40" s="1"/>
  <c r="CM34" i="40"/>
  <c r="CS34" i="40" s="1"/>
  <c r="BO35" i="40"/>
  <c r="CU35" i="40" s="1"/>
  <c r="E59" i="31" s="1"/>
  <c r="H59" i="31" s="1"/>
  <c r="DA35" i="40"/>
  <c r="BO40" i="40"/>
  <c r="CU40" i="40" s="1"/>
  <c r="CY40" i="40" s="1"/>
  <c r="BO44" i="40"/>
  <c r="M47" i="40"/>
  <c r="AQ57" i="40"/>
  <c r="BM57" i="40"/>
  <c r="BM17" i="40"/>
  <c r="CM27" i="40"/>
  <c r="CS27" i="40" s="1"/>
  <c r="CW38" i="40"/>
  <c r="CW58" i="40" s="1"/>
  <c r="CW62" i="40" s="1"/>
  <c r="CW63" i="40" s="1"/>
  <c r="BM47" i="40"/>
  <c r="BO51" i="40"/>
  <c r="CU51" i="40" s="1"/>
  <c r="AG17" i="40"/>
  <c r="DA17" i="40" s="1"/>
  <c r="AQ17" i="40"/>
  <c r="BO21" i="40"/>
  <c r="CU21" i="40" s="1"/>
  <c r="AU38" i="40"/>
  <c r="AU58" i="40" s="1"/>
  <c r="BG38" i="40"/>
  <c r="BG58" i="40" s="1"/>
  <c r="BG62" i="40" s="1"/>
  <c r="BG63" i="40" s="1"/>
  <c r="BW38" i="40"/>
  <c r="BW58" i="40" s="1"/>
  <c r="BW62" i="40" s="1"/>
  <c r="BW63" i="40" s="1"/>
  <c r="CI38" i="40"/>
  <c r="CI58" i="40" s="1"/>
  <c r="CI62" i="40" s="1"/>
  <c r="CI63" i="40" s="1"/>
  <c r="DC29" i="40"/>
  <c r="BM34" i="40"/>
  <c r="DC42" i="40"/>
  <c r="DC46" i="40"/>
  <c r="M69" i="40"/>
  <c r="U17" i="40"/>
  <c r="AS62" i="40"/>
  <c r="AS63" i="40" s="1"/>
  <c r="DC20" i="40"/>
  <c r="CM57" i="40"/>
  <c r="CS57" i="40" s="1"/>
  <c r="DC24" i="40"/>
  <c r="W38" i="40"/>
  <c r="W58" i="40" s="1"/>
  <c r="W62" i="40" s="1"/>
  <c r="W63" i="40" s="1"/>
  <c r="AY38" i="40"/>
  <c r="AY58" i="40" s="1"/>
  <c r="AY62" i="40" s="1"/>
  <c r="AY63" i="40" s="1"/>
  <c r="BK38" i="40"/>
  <c r="BK58" i="40" s="1"/>
  <c r="BK62" i="40" s="1"/>
  <c r="BK63" i="40" s="1"/>
  <c r="CO38" i="40"/>
  <c r="CO58" i="40" s="1"/>
  <c r="CO62" i="40" s="1"/>
  <c r="U34" i="40"/>
  <c r="DC43" i="40"/>
  <c r="DC51" i="40"/>
  <c r="BO53" i="40"/>
  <c r="CU53" i="40" s="1"/>
  <c r="CY53" i="40" s="1"/>
  <c r="AG61" i="40"/>
  <c r="DA61" i="40" s="1"/>
  <c r="G41" i="31"/>
  <c r="F41" i="31"/>
  <c r="F61" i="31"/>
  <c r="M12" i="40"/>
  <c r="BO6" i="40"/>
  <c r="CU6" i="40" s="1"/>
  <c r="CY6" i="40" s="1"/>
  <c r="BO7" i="40"/>
  <c r="CU7" i="40" s="1"/>
  <c r="CY7" i="40" s="1"/>
  <c r="CM12" i="40"/>
  <c r="CS12" i="40" s="1"/>
  <c r="BO11" i="40"/>
  <c r="CU11" i="40" s="1"/>
  <c r="CY11" i="40" s="1"/>
  <c r="BO5" i="40"/>
  <c r="CU5" i="40" s="1"/>
  <c r="CY5" i="40" s="1"/>
  <c r="BO9" i="40"/>
  <c r="CU9" i="40" s="1"/>
  <c r="CY9" i="40" s="1"/>
  <c r="BO10" i="40"/>
  <c r="CU10" i="40" s="1"/>
  <c r="CY10" i="40" s="1"/>
  <c r="AQ12" i="40"/>
  <c r="BM13" i="40"/>
  <c r="DC33" i="40"/>
  <c r="BO33" i="40"/>
  <c r="CU33" i="40" s="1"/>
  <c r="BO16" i="40"/>
  <c r="CU16" i="40" s="1"/>
  <c r="CY16" i="40" s="1"/>
  <c r="O38" i="40"/>
  <c r="U27" i="40"/>
  <c r="DC31" i="40"/>
  <c r="BO31" i="40"/>
  <c r="CU31" i="40" s="1"/>
  <c r="E36" i="31" s="1"/>
  <c r="H36" i="31" s="1"/>
  <c r="U69" i="40"/>
  <c r="O70" i="40"/>
  <c r="U70" i="40" s="1"/>
  <c r="BU70" i="40"/>
  <c r="AC38" i="40"/>
  <c r="BO26" i="40"/>
  <c r="CU26" i="40" s="1"/>
  <c r="CY26" i="40" s="1"/>
  <c r="DA26" i="40"/>
  <c r="BO25" i="40"/>
  <c r="CU25" i="40" s="1"/>
  <c r="CY25" i="40" s="1"/>
  <c r="DA25" i="40"/>
  <c r="BO30" i="40"/>
  <c r="CU30" i="40" s="1"/>
  <c r="DC30" i="40"/>
  <c r="DC50" i="40"/>
  <c r="BO50" i="40"/>
  <c r="CU50" i="40" s="1"/>
  <c r="B6" i="30" s="1"/>
  <c r="E6" i="30" s="1"/>
  <c r="CK13" i="40"/>
  <c r="CM13" i="40" s="1"/>
  <c r="AK38" i="40"/>
  <c r="AK58" i="40" s="1"/>
  <c r="AK62" i="40" s="1"/>
  <c r="AK63" i="40" s="1"/>
  <c r="AQ27" i="40"/>
  <c r="BO29" i="40"/>
  <c r="CU29" i="40" s="1"/>
  <c r="CY29" i="40" s="1"/>
  <c r="BO32" i="40"/>
  <c r="CU32" i="40" s="1"/>
  <c r="CY32" i="40" s="1"/>
  <c r="DC32" i="40"/>
  <c r="BO52" i="40"/>
  <c r="CU52" i="40" s="1"/>
  <c r="CY52" i="40" s="1"/>
  <c r="DC52" i="40"/>
  <c r="AG27" i="40"/>
  <c r="DA27" i="40" s="1"/>
  <c r="AA38" i="40"/>
  <c r="AQ13" i="40"/>
  <c r="BO24" i="40"/>
  <c r="CU24" i="40" s="1"/>
  <c r="CY24" i="40" s="1"/>
  <c r="DA24" i="40"/>
  <c r="AG13" i="40"/>
  <c r="BM12" i="40"/>
  <c r="U13" i="40"/>
  <c r="AG34" i="40"/>
  <c r="CG38" i="40"/>
  <c r="CG58" i="40" s="1"/>
  <c r="CG62" i="40" s="1"/>
  <c r="CG63" i="40" s="1"/>
  <c r="U12" i="40"/>
  <c r="AG12" i="40"/>
  <c r="I13" i="40"/>
  <c r="BQ13" i="40"/>
  <c r="AO38" i="40"/>
  <c r="AO58" i="40" s="1"/>
  <c r="AO62" i="40" s="1"/>
  <c r="AO63" i="40" s="1"/>
  <c r="BA38" i="40"/>
  <c r="BA58" i="40" s="1"/>
  <c r="BA62" i="40" s="1"/>
  <c r="BA63" i="40" s="1"/>
  <c r="BM27" i="40"/>
  <c r="DC27" i="40" s="1"/>
  <c r="BY38" i="40"/>
  <c r="BY58" i="40" s="1"/>
  <c r="CK38" i="40"/>
  <c r="CK58" i="40" s="1"/>
  <c r="BO37" i="40"/>
  <c r="CU37" i="40" s="1"/>
  <c r="CY37" i="40" s="1"/>
  <c r="BO41" i="40"/>
  <c r="CU41" i="40" s="1"/>
  <c r="CY41" i="40" s="1"/>
  <c r="BO43" i="40"/>
  <c r="CU43" i="40" s="1"/>
  <c r="CY43" i="40" s="1"/>
  <c r="BO45" i="40"/>
  <c r="CU45" i="40" s="1"/>
  <c r="CY45" i="40" s="1"/>
  <c r="BO56" i="40"/>
  <c r="CU56" i="40" s="1"/>
  <c r="DA56" i="40"/>
  <c r="CM61" i="40"/>
  <c r="CS61" i="40" s="1"/>
  <c r="BO68" i="40"/>
  <c r="CU68" i="40" s="1"/>
  <c r="CY68" i="40" s="1"/>
  <c r="DA68" i="40"/>
  <c r="AQ69" i="40"/>
  <c r="AW70" i="40"/>
  <c r="BM70" i="40" s="1"/>
  <c r="BM69" i="40"/>
  <c r="M70" i="40"/>
  <c r="S38" i="40"/>
  <c r="S58" i="40" s="1"/>
  <c r="S62" i="40" s="1"/>
  <c r="S63" i="40" s="1"/>
  <c r="AE38" i="40"/>
  <c r="AE58" i="40" s="1"/>
  <c r="AE62" i="40" s="1"/>
  <c r="AE63" i="40" s="1"/>
  <c r="BC38" i="40"/>
  <c r="BC58" i="40" s="1"/>
  <c r="BC62" i="40" s="1"/>
  <c r="BC63" i="40" s="1"/>
  <c r="CA38" i="40"/>
  <c r="CA58" i="40" s="1"/>
  <c r="CA62" i="40" s="1"/>
  <c r="CA63" i="40" s="1"/>
  <c r="BM54" i="40"/>
  <c r="CM70" i="40"/>
  <c r="M17" i="40"/>
  <c r="BO36" i="40"/>
  <c r="CU36" i="40" s="1"/>
  <c r="CY36" i="40" s="1"/>
  <c r="DC37" i="40"/>
  <c r="AC57" i="40"/>
  <c r="AG57" i="40" s="1"/>
  <c r="AG54" i="40"/>
  <c r="DA54" i="40" s="1"/>
  <c r="AQ54" i="40"/>
  <c r="CM54" i="40"/>
  <c r="CS54" i="40" s="1"/>
  <c r="DC56" i="40"/>
  <c r="DC68" i="40"/>
  <c r="DC35" i="40"/>
  <c r="DC55" i="40"/>
  <c r="DC60" i="40"/>
  <c r="DC67" i="40"/>
  <c r="CU44" i="40"/>
  <c r="CY44" i="40" s="1"/>
  <c r="AG47" i="40"/>
  <c r="Q57" i="40"/>
  <c r="U57" i="40" s="1"/>
  <c r="U54" i="40"/>
  <c r="BO55" i="40"/>
  <c r="CU55" i="40" s="1"/>
  <c r="CY55" i="40" s="1"/>
  <c r="DA55" i="40"/>
  <c r="BO60" i="40"/>
  <c r="CU60" i="40" s="1"/>
  <c r="DA60" i="40"/>
  <c r="AQ61" i="40"/>
  <c r="BM61" i="40"/>
  <c r="BO67" i="40"/>
  <c r="CU67" i="40" s="1"/>
  <c r="CY67" i="40" s="1"/>
  <c r="DA67" i="40"/>
  <c r="AG69" i="40"/>
  <c r="DA69" i="40" s="1"/>
  <c r="AA70" i="40"/>
  <c r="AG70" i="40" s="1"/>
  <c r="CM69" i="40"/>
  <c r="CS69" i="40" s="1"/>
  <c r="M54" i="40"/>
  <c r="M58" i="40" l="1"/>
  <c r="CS70" i="40"/>
  <c r="DC17" i="40"/>
  <c r="I6" i="30"/>
  <c r="H6" i="30"/>
  <c r="G6" i="30"/>
  <c r="DC61" i="40"/>
  <c r="CY22" i="40"/>
  <c r="DC34" i="40"/>
  <c r="DC47" i="40"/>
  <c r="M62" i="40"/>
  <c r="DC69" i="40"/>
  <c r="Q58" i="40"/>
  <c r="Q62" i="40" s="1"/>
  <c r="Q63" i="40" s="1"/>
  <c r="CY31" i="40"/>
  <c r="DC57" i="40"/>
  <c r="E61" i="31"/>
  <c r="BO17" i="40"/>
  <c r="CU17" i="40" s="1"/>
  <c r="CY17" i="40" s="1"/>
  <c r="B7" i="30"/>
  <c r="E7" i="30" s="1"/>
  <c r="CY21" i="40"/>
  <c r="CM58" i="40"/>
  <c r="BO13" i="40"/>
  <c r="CY35" i="40"/>
  <c r="DC54" i="40"/>
  <c r="M38" i="40"/>
  <c r="CM38" i="40"/>
  <c r="CS38" i="40" s="1"/>
  <c r="CS58" i="40"/>
  <c r="BO34" i="40"/>
  <c r="CU34" i="40" s="1"/>
  <c r="CY34" i="40" s="1"/>
  <c r="BO57" i="40"/>
  <c r="CU57" i="40" s="1"/>
  <c r="CY57" i="40" s="1"/>
  <c r="DA57" i="40"/>
  <c r="CY60" i="40"/>
  <c r="CY56" i="40"/>
  <c r="E38" i="31"/>
  <c r="AC58" i="40"/>
  <c r="AC62" i="40" s="1"/>
  <c r="AC63" i="40" s="1"/>
  <c r="BY62" i="40"/>
  <c r="BY63" i="40" s="1"/>
  <c r="BO61" i="40"/>
  <c r="CU61" i="40" s="1"/>
  <c r="CY61" i="40" s="1"/>
  <c r="CY51" i="40"/>
  <c r="CY50" i="40"/>
  <c r="BO47" i="40"/>
  <c r="CU47" i="40" s="1"/>
  <c r="CY47" i="40" s="1"/>
  <c r="CY30" i="40"/>
  <c r="E39" i="31"/>
  <c r="CY33" i="40"/>
  <c r="E40" i="31"/>
  <c r="H40" i="31" s="1"/>
  <c r="AQ58" i="40"/>
  <c r="BM38" i="40"/>
  <c r="BO12" i="40"/>
  <c r="CU12" i="40" s="1"/>
  <c r="CY12" i="40" s="1"/>
  <c r="BM58" i="40"/>
  <c r="AU62" i="40"/>
  <c r="BO69" i="40"/>
  <c r="CU69" i="40" s="1"/>
  <c r="CY69" i="40" s="1"/>
  <c r="AQ38" i="40"/>
  <c r="BO54" i="40"/>
  <c r="CU54" i="40" s="1"/>
  <c r="CY54" i="40" s="1"/>
  <c r="AG38" i="40"/>
  <c r="AA58" i="40"/>
  <c r="DA34" i="40"/>
  <c r="CK62" i="40"/>
  <c r="CM62" i="40" s="1"/>
  <c r="CO63" i="40"/>
  <c r="BQ63" i="40"/>
  <c r="CS13" i="40"/>
  <c r="CU13" i="40" s="1"/>
  <c r="I63" i="40"/>
  <c r="M63" i="40" s="1"/>
  <c r="M13" i="40"/>
  <c r="DA47" i="40"/>
  <c r="BO70" i="40"/>
  <c r="CU70" i="40" s="1"/>
  <c r="CY70" i="40" s="1"/>
  <c r="CQ62" i="40"/>
  <c r="BO27" i="40"/>
  <c r="CU27" i="40" s="1"/>
  <c r="CY27" i="40" s="1"/>
  <c r="AI62" i="40"/>
  <c r="U38" i="40"/>
  <c r="O58" i="40"/>
  <c r="G7" i="30" l="1"/>
  <c r="I7" i="30"/>
  <c r="H7" i="30"/>
  <c r="CK63" i="40"/>
  <c r="CM63" i="40" s="1"/>
  <c r="DC58" i="40"/>
  <c r="DC38" i="40"/>
  <c r="CS62" i="40"/>
  <c r="H39" i="31"/>
  <c r="E41" i="31"/>
  <c r="AQ62" i="40"/>
  <c r="AI63" i="40"/>
  <c r="AQ63" i="40" s="1"/>
  <c r="CY13" i="40"/>
  <c r="U58" i="40"/>
  <c r="O62" i="40"/>
  <c r="AG58" i="40"/>
  <c r="AA62" i="40"/>
  <c r="CQ63" i="40"/>
  <c r="BO38" i="40"/>
  <c r="CU38" i="40" s="1"/>
  <c r="CY38" i="40" s="1"/>
  <c r="BM62" i="40"/>
  <c r="AU63" i="40"/>
  <c r="BM63" i="40" s="1"/>
  <c r="DA38" i="40"/>
  <c r="DC62" i="40" l="1"/>
  <c r="G45" i="31"/>
  <c r="F45" i="31"/>
  <c r="E45" i="31"/>
  <c r="H46" i="31"/>
  <c r="H47" i="31" s="1"/>
  <c r="DC63" i="40"/>
  <c r="AG62" i="40"/>
  <c r="AA63" i="40"/>
  <c r="AG63" i="40" s="1"/>
  <c r="BO58" i="40"/>
  <c r="CU58" i="40" s="1"/>
  <c r="CY58" i="40" s="1"/>
  <c r="DA58" i="40"/>
  <c r="CS63" i="40"/>
  <c r="U62" i="40"/>
  <c r="O63" i="40"/>
  <c r="U63" i="40" s="1"/>
  <c r="E46" i="31" l="1"/>
  <c r="E47" i="31" s="1"/>
  <c r="F46" i="31"/>
  <c r="F47" i="31" s="1"/>
  <c r="G46" i="31"/>
  <c r="G47" i="31" s="1"/>
  <c r="BO63" i="40"/>
  <c r="CU63" i="40" s="1"/>
  <c r="CY63" i="40" s="1"/>
  <c r="DA63" i="40"/>
  <c r="BO62" i="40"/>
  <c r="CU62" i="40" s="1"/>
  <c r="CY62" i="40" s="1"/>
  <c r="DA62" i="40"/>
  <c r="D33" i="27" l="1"/>
  <c r="D59" i="27"/>
  <c r="D60" i="27"/>
  <c r="D62" i="27"/>
  <c r="D61" i="27"/>
  <c r="D69" i="27"/>
  <c r="D20" i="27" s="1"/>
  <c r="D48" i="27"/>
  <c r="D63" i="27" l="1"/>
  <c r="H66" i="31"/>
  <c r="H60" i="31" l="1"/>
  <c r="H61" i="31" s="1"/>
  <c r="I55" i="31"/>
  <c r="H37" i="31"/>
  <c r="H35" i="31"/>
  <c r="H38" i="31"/>
  <c r="E8" i="31"/>
  <c r="H41" i="31" l="1"/>
  <c r="E4" i="31"/>
  <c r="B5" i="30" s="1"/>
  <c r="E5" i="30" s="1"/>
  <c r="C9" i="26"/>
  <c r="B43" i="26"/>
  <c r="B40" i="26"/>
  <c r="B42" i="26" l="1"/>
  <c r="B44" i="26" s="1"/>
  <c r="I5" i="30"/>
  <c r="H5" i="30"/>
  <c r="G5" i="30"/>
  <c r="B21" i="26"/>
  <c r="C69" i="27" l="1"/>
  <c r="C63" i="27"/>
  <c r="D36" i="27"/>
  <c r="C36" i="27"/>
  <c r="I67" i="31"/>
  <c r="I61" i="31"/>
  <c r="I54" i="31" l="1"/>
  <c r="I41" i="31"/>
  <c r="G56" i="26"/>
  <c r="G44" i="26"/>
  <c r="G35" i="26"/>
  <c r="G29" i="26"/>
  <c r="G21" i="26"/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4" i="2"/>
  <c r="I31" i="31" l="1"/>
  <c r="I44" i="1"/>
  <c r="I45" i="1"/>
  <c r="I46" i="1"/>
  <c r="I43" i="1"/>
  <c r="I40" i="1"/>
  <c r="I39" i="1"/>
  <c r="I37" i="1"/>
  <c r="I36" i="1"/>
  <c r="I34" i="1"/>
  <c r="I33" i="1"/>
  <c r="I30" i="1"/>
  <c r="I29" i="1"/>
  <c r="I25" i="1"/>
  <c r="I24" i="1"/>
  <c r="I21" i="1"/>
  <c r="I22" i="1"/>
  <c r="I20" i="1"/>
  <c r="I14" i="1"/>
  <c r="I15" i="1"/>
  <c r="I16" i="1"/>
  <c r="I17" i="1"/>
  <c r="I18" i="1"/>
  <c r="I13" i="1"/>
  <c r="I5" i="1"/>
  <c r="I6" i="1"/>
  <c r="I7" i="1"/>
  <c r="I8" i="1"/>
  <c r="I9" i="1"/>
  <c r="I10" i="1"/>
  <c r="I4" i="1"/>
  <c r="G13" i="26"/>
  <c r="I19" i="1" l="1"/>
  <c r="I11" i="1"/>
  <c r="I47" i="1"/>
  <c r="I41" i="1"/>
  <c r="I38" i="1"/>
  <c r="I35" i="1"/>
  <c r="I31" i="1"/>
  <c r="I32" i="1" s="1"/>
  <c r="I26" i="1"/>
  <c r="I27" i="1" s="1"/>
  <c r="I48" i="1" l="1"/>
  <c r="H32" i="1"/>
  <c r="G32" i="1"/>
  <c r="F32" i="1"/>
  <c r="H27" i="1"/>
  <c r="G27" i="1"/>
  <c r="F27" i="1"/>
  <c r="D37" i="27"/>
  <c r="C33" i="27"/>
  <c r="C37" i="27" s="1"/>
  <c r="D24" i="1"/>
  <c r="C13" i="26"/>
  <c r="H41" i="1"/>
  <c r="G41" i="1"/>
  <c r="F41" i="1"/>
  <c r="D40" i="1"/>
  <c r="D39" i="1"/>
  <c r="H38" i="1"/>
  <c r="G38" i="1"/>
  <c r="F38" i="1"/>
  <c r="D37" i="1"/>
  <c r="D36" i="1"/>
  <c r="D34" i="1"/>
  <c r="D33" i="1"/>
  <c r="C24" i="1"/>
  <c r="D30" i="1"/>
  <c r="D29" i="1"/>
  <c r="C30" i="1"/>
  <c r="C29" i="1"/>
  <c r="D25" i="1"/>
  <c r="C25" i="1"/>
  <c r="B6" i="4"/>
  <c r="E35" i="1" l="1"/>
  <c r="D9" i="38"/>
  <c r="D10" i="38"/>
  <c r="C42" i="27" l="1"/>
  <c r="D42" i="27"/>
  <c r="D43" i="27" s="1"/>
  <c r="D9" i="1"/>
  <c r="D7" i="38" s="1"/>
  <c r="D10" i="1"/>
  <c r="D8" i="38" s="1"/>
  <c r="C43" i="27" l="1"/>
  <c r="B11" i="4"/>
  <c r="B13" i="4" s="1"/>
  <c r="B7" i="4"/>
  <c r="B8" i="4"/>
  <c r="B9" i="4"/>
  <c r="B39" i="4"/>
  <c r="D11" i="3"/>
  <c r="D38" i="3"/>
  <c r="D37" i="3"/>
  <c r="D36" i="3"/>
  <c r="D34" i="3"/>
  <c r="D33" i="3"/>
  <c r="D30" i="3"/>
  <c r="D29" i="3"/>
  <c r="D28" i="3"/>
  <c r="D27" i="3"/>
  <c r="D26" i="3"/>
  <c r="D25" i="3"/>
  <c r="D24" i="3"/>
  <c r="D23" i="3"/>
  <c r="D22" i="3"/>
  <c r="D20" i="3"/>
  <c r="D19" i="3"/>
  <c r="D18" i="3"/>
  <c r="D17" i="3"/>
  <c r="D16" i="3"/>
  <c r="D14" i="3"/>
  <c r="D13" i="3"/>
  <c r="D12" i="3"/>
  <c r="D10" i="3"/>
  <c r="D9" i="3"/>
  <c r="D8" i="3"/>
  <c r="D7" i="3"/>
  <c r="D6" i="3"/>
  <c r="D5" i="3"/>
  <c r="D4" i="3"/>
  <c r="C21" i="31"/>
  <c r="H9" i="30"/>
  <c r="D13" i="26"/>
  <c r="E13" i="26"/>
  <c r="B21" i="31"/>
  <c r="E38" i="3"/>
  <c r="E37" i="3"/>
  <c r="E36" i="3"/>
  <c r="E34" i="3"/>
  <c r="E33" i="3"/>
  <c r="E30" i="3"/>
  <c r="E29" i="3"/>
  <c r="E28" i="3"/>
  <c r="E27" i="3"/>
  <c r="E26" i="3"/>
  <c r="D29" i="38" s="1"/>
  <c r="E25" i="3"/>
  <c r="E24" i="3"/>
  <c r="E23" i="3"/>
  <c r="E22" i="3"/>
  <c r="E20" i="3"/>
  <c r="E19" i="3"/>
  <c r="E18" i="3"/>
  <c r="E17" i="3"/>
  <c r="E16" i="3"/>
  <c r="E5" i="3"/>
  <c r="E6" i="3"/>
  <c r="E7" i="3"/>
  <c r="E8" i="3"/>
  <c r="E9" i="3"/>
  <c r="E10" i="3"/>
  <c r="E11" i="3"/>
  <c r="E12" i="3"/>
  <c r="E13" i="3"/>
  <c r="E14" i="3"/>
  <c r="E4" i="3"/>
  <c r="B35" i="2"/>
  <c r="B36" i="2"/>
  <c r="B37" i="2"/>
  <c r="B34" i="2"/>
  <c r="C50" i="27"/>
  <c r="C19" i="27" s="1"/>
  <c r="C21" i="27" s="1"/>
  <c r="C14" i="27"/>
  <c r="D50" i="27"/>
  <c r="D19" i="27" s="1"/>
  <c r="D21" i="27" s="1"/>
  <c r="C26" i="1"/>
  <c r="B45" i="1"/>
  <c r="B44" i="1"/>
  <c r="B43" i="1"/>
  <c r="H46" i="1"/>
  <c r="G46" i="1"/>
  <c r="F46" i="1"/>
  <c r="H45" i="1"/>
  <c r="G45" i="1"/>
  <c r="F45" i="1"/>
  <c r="H44" i="1"/>
  <c r="G44" i="1"/>
  <c r="F44" i="1"/>
  <c r="H43" i="1"/>
  <c r="G43" i="1"/>
  <c r="F43" i="1"/>
  <c r="H22" i="1"/>
  <c r="G22" i="1"/>
  <c r="F22" i="1"/>
  <c r="H21" i="1"/>
  <c r="G21" i="1"/>
  <c r="F21" i="1"/>
  <c r="H20" i="1"/>
  <c r="G20" i="1"/>
  <c r="F20" i="1"/>
  <c r="B14" i="1"/>
  <c r="B15" i="1"/>
  <c r="B16" i="1"/>
  <c r="B17" i="1"/>
  <c r="B13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L6" i="30"/>
  <c r="E28" i="31" s="1"/>
  <c r="M6" i="30"/>
  <c r="F28" i="31" s="1"/>
  <c r="E11" i="2" s="1"/>
  <c r="N6" i="30"/>
  <c r="G28" i="31" s="1"/>
  <c r="F11" i="2" s="1"/>
  <c r="L7" i="30"/>
  <c r="E29" i="31" s="1"/>
  <c r="M7" i="30"/>
  <c r="F29" i="31" s="1"/>
  <c r="E12" i="2" s="1"/>
  <c r="N7" i="30"/>
  <c r="M8" i="30"/>
  <c r="F30" i="31" s="1"/>
  <c r="E13" i="2" s="1"/>
  <c r="N8" i="30"/>
  <c r="M5" i="30"/>
  <c r="F27" i="31" s="1"/>
  <c r="E10" i="2" s="1"/>
  <c r="N5" i="30"/>
  <c r="L5" i="30"/>
  <c r="E27" i="31" s="1"/>
  <c r="F26" i="31"/>
  <c r="I9" i="30"/>
  <c r="G26" i="31" s="1"/>
  <c r="J9" i="30"/>
  <c r="G9" i="30"/>
  <c r="E26" i="31" s="1"/>
  <c r="C9" i="30"/>
  <c r="D9" i="30"/>
  <c r="F38" i="2"/>
  <c r="E38" i="2"/>
  <c r="D5" i="1"/>
  <c r="D6" i="1"/>
  <c r="D14" i="38" s="1"/>
  <c r="D7" i="1"/>
  <c r="D8" i="1"/>
  <c r="D6" i="38" s="1"/>
  <c r="D4" i="1"/>
  <c r="F18" i="2"/>
  <c r="C18" i="2" s="1"/>
  <c r="D20" i="38" s="1"/>
  <c r="E5" i="31"/>
  <c r="E6" i="31"/>
  <c r="E7" i="31"/>
  <c r="H7" i="31" s="1"/>
  <c r="H8" i="31"/>
  <c r="E9" i="31"/>
  <c r="H9" i="31" s="1"/>
  <c r="E10" i="31"/>
  <c r="H10" i="31" s="1"/>
  <c r="E11" i="31"/>
  <c r="H11" i="31" s="1"/>
  <c r="E12" i="31"/>
  <c r="E13" i="31"/>
  <c r="H13" i="31" s="1"/>
  <c r="E14" i="31"/>
  <c r="H14" i="31" s="1"/>
  <c r="H16" i="31"/>
  <c r="E17" i="31"/>
  <c r="H17" i="31" s="1"/>
  <c r="E18" i="31"/>
  <c r="E19" i="31"/>
  <c r="H19" i="31" s="1"/>
  <c r="E20" i="31"/>
  <c r="H20" i="31" s="1"/>
  <c r="H4" i="31"/>
  <c r="C31" i="1"/>
  <c r="F21" i="2"/>
  <c r="D7" i="2"/>
  <c r="E9" i="2"/>
  <c r="F9" i="2"/>
  <c r="E14" i="2"/>
  <c r="F14" i="2"/>
  <c r="E15" i="2"/>
  <c r="F15" i="2"/>
  <c r="E16" i="2"/>
  <c r="F16" i="2"/>
  <c r="E17" i="2"/>
  <c r="F17" i="2"/>
  <c r="E20" i="2"/>
  <c r="F20" i="2"/>
  <c r="E21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4" i="2"/>
  <c r="F34" i="2"/>
  <c r="E35" i="2"/>
  <c r="F35" i="2"/>
  <c r="E36" i="2"/>
  <c r="F36" i="2"/>
  <c r="E37" i="2"/>
  <c r="F37" i="2"/>
  <c r="D30" i="2"/>
  <c r="D29" i="2"/>
  <c r="D28" i="2"/>
  <c r="D27" i="2"/>
  <c r="D24" i="2"/>
  <c r="D14" i="2"/>
  <c r="D17" i="2"/>
  <c r="D6" i="2"/>
  <c r="D9" i="2"/>
  <c r="D4" i="2"/>
  <c r="H18" i="31" l="1"/>
  <c r="E65" i="31"/>
  <c r="H6" i="31"/>
  <c r="B8" i="30"/>
  <c r="G29" i="31"/>
  <c r="G30" i="31"/>
  <c r="F13" i="2" s="1"/>
  <c r="G27" i="31"/>
  <c r="H27" i="31" s="1"/>
  <c r="D21" i="2"/>
  <c r="H12" i="31"/>
  <c r="H55" i="31" s="1"/>
  <c r="E55" i="31"/>
  <c r="E54" i="31" s="1"/>
  <c r="H54" i="31" s="1"/>
  <c r="G39" i="2"/>
  <c r="B24" i="4"/>
  <c r="B43" i="4" s="1"/>
  <c r="D27" i="38"/>
  <c r="D8" i="2"/>
  <c r="H26" i="31"/>
  <c r="F8" i="2"/>
  <c r="E8" i="2"/>
  <c r="F31" i="31"/>
  <c r="D11" i="2"/>
  <c r="H28" i="31"/>
  <c r="H5" i="31"/>
  <c r="G48" i="1"/>
  <c r="F48" i="1"/>
  <c r="H48" i="1"/>
  <c r="B10" i="4"/>
  <c r="C23" i="27"/>
  <c r="E21" i="31"/>
  <c r="O5" i="30"/>
  <c r="O7" i="30"/>
  <c r="O6" i="30"/>
  <c r="M9" i="30"/>
  <c r="N9" i="30"/>
  <c r="E31" i="3"/>
  <c r="D31" i="3"/>
  <c r="E39" i="3"/>
  <c r="D39" i="3"/>
  <c r="B38" i="4" s="1"/>
  <c r="D15" i="3"/>
  <c r="E20" i="1"/>
  <c r="D12" i="38" s="1"/>
  <c r="E43" i="1"/>
  <c r="E45" i="1"/>
  <c r="E46" i="1"/>
  <c r="E44" i="1"/>
  <c r="E18" i="1"/>
  <c r="E15" i="1"/>
  <c r="E14" i="1"/>
  <c r="E13" i="1"/>
  <c r="E11" i="1"/>
  <c r="E67" i="31" l="1"/>
  <c r="H65" i="31"/>
  <c r="H67" i="31" s="1"/>
  <c r="D5" i="2"/>
  <c r="G31" i="31"/>
  <c r="F12" i="2"/>
  <c r="H29" i="31"/>
  <c r="E8" i="30"/>
  <c r="L8" i="30"/>
  <c r="B9" i="30"/>
  <c r="H21" i="31"/>
  <c r="H23" i="31" s="1"/>
  <c r="F10" i="2"/>
  <c r="E47" i="1"/>
  <c r="E30" i="31" l="1"/>
  <c r="L9" i="30"/>
  <c r="O8" i="30"/>
  <c r="O9" i="30" s="1"/>
  <c r="I21" i="31"/>
  <c r="H30" i="31" l="1"/>
  <c r="H31" i="31" s="1"/>
  <c r="E31" i="31"/>
  <c r="B13" i="26"/>
  <c r="B15" i="26" s="1"/>
  <c r="E9" i="30" l="1"/>
  <c r="E15" i="3" l="1"/>
  <c r="D30" i="38" s="1"/>
  <c r="E21" i="3" l="1"/>
  <c r="G21" i="31"/>
  <c r="G23" i="31" s="1"/>
  <c r="D10" i="2"/>
  <c r="C10" i="2" s="1"/>
  <c r="D21" i="31"/>
  <c r="D37" i="2" l="1"/>
  <c r="D36" i="2"/>
  <c r="D34" i="2"/>
  <c r="C34" i="2" s="1"/>
  <c r="D35" i="2"/>
  <c r="C35" i="2" s="1"/>
  <c r="D13" i="2"/>
  <c r="D25" i="2"/>
  <c r="D16" i="2"/>
  <c r="D20" i="2"/>
  <c r="D23" i="2"/>
  <c r="D26" i="2"/>
  <c r="D32" i="2"/>
  <c r="D31" i="2"/>
  <c r="D38" i="2"/>
  <c r="D15" i="2"/>
  <c r="D12" i="2"/>
  <c r="B26" i="4"/>
  <c r="B23" i="4"/>
  <c r="B22" i="4"/>
  <c r="B42" i="4" s="1"/>
  <c r="B21" i="4"/>
  <c r="B40" i="4" s="1"/>
  <c r="B28" i="4" l="1"/>
  <c r="B25" i="4"/>
  <c r="D14" i="27"/>
  <c r="D23" i="27" l="1"/>
  <c r="F21" i="31"/>
  <c r="E48" i="1" l="1"/>
  <c r="C36" i="2" l="1"/>
  <c r="C37" i="2"/>
  <c r="C38" i="2"/>
  <c r="C5" i="2"/>
  <c r="C6" i="2"/>
  <c r="C7" i="2"/>
  <c r="C8" i="2"/>
  <c r="C9" i="2"/>
  <c r="C11" i="2"/>
  <c r="C12" i="2"/>
  <c r="C13" i="2"/>
  <c r="C14" i="2"/>
  <c r="C15" i="2"/>
  <c r="C16" i="2"/>
  <c r="C17" i="2"/>
  <c r="C20" i="2"/>
  <c r="C21" i="2"/>
  <c r="C23" i="2"/>
  <c r="C24" i="2"/>
  <c r="C25" i="2"/>
  <c r="C26" i="2"/>
  <c r="C27" i="2"/>
  <c r="C28" i="2"/>
  <c r="C29" i="2"/>
  <c r="C30" i="2"/>
  <c r="C31" i="2"/>
  <c r="D21" i="38" s="1"/>
  <c r="C32" i="2"/>
  <c r="C4" i="2"/>
  <c r="E41" i="1"/>
  <c r="E38" i="1"/>
  <c r="E32" i="1"/>
  <c r="D31" i="1"/>
  <c r="D26" i="1"/>
  <c r="E16" i="1"/>
  <c r="E17" i="1"/>
  <c r="E21" i="1"/>
  <c r="E22" i="1"/>
  <c r="D19" i="38" l="1"/>
  <c r="E19" i="1"/>
  <c r="D11" i="38" s="1"/>
  <c r="E27" i="1"/>
  <c r="D40" i="3"/>
  <c r="E40" i="3"/>
  <c r="E42" i="3" s="1"/>
  <c r="B14" i="4" l="1"/>
  <c r="B4" i="4" s="1"/>
  <c r="B35" i="4"/>
  <c r="D21" i="3"/>
  <c r="D42" i="3" s="1"/>
  <c r="E19" i="2"/>
  <c r="D19" i="2"/>
  <c r="F22" i="2"/>
  <c r="F19" i="2"/>
  <c r="E22" i="2" l="1"/>
  <c r="E39" i="2" s="1"/>
  <c r="F39" i="2"/>
  <c r="D22" i="2"/>
  <c r="C19" i="2"/>
  <c r="C22" i="2" l="1"/>
  <c r="C39" i="2" s="1"/>
  <c r="D13" i="38"/>
  <c r="D39" i="2"/>
  <c r="B29" i="4" l="1"/>
  <c r="B19" i="4" s="1"/>
  <c r="B36" i="4"/>
  <c r="B37" i="4" s="1"/>
  <c r="B44" i="4" s="1"/>
  <c r="B46" i="4" s="1"/>
</calcChain>
</file>

<file path=xl/sharedStrings.xml><?xml version="1.0" encoding="utf-8"?>
<sst xmlns="http://schemas.openxmlformats.org/spreadsheetml/2006/main" count="937" uniqueCount="693">
  <si>
    <t>Checklist for Review Exempt Org Tax Return</t>
  </si>
  <si>
    <t>Revenue - Checks</t>
  </si>
  <si>
    <t>S No</t>
  </si>
  <si>
    <t>Check Points</t>
  </si>
  <si>
    <t>Verification Check</t>
  </si>
  <si>
    <t>Review Points</t>
  </si>
  <si>
    <t>Compliance Check</t>
  </si>
  <si>
    <r>
      <t>Is there any Govt Grant</t>
    </r>
    <r>
      <rPr>
        <sz val="11"/>
        <color rgb="FF002060"/>
        <rFont val="Calibri"/>
        <family val="2"/>
      </rPr>
      <t xml:space="preserve"> </t>
    </r>
  </si>
  <si>
    <t xml:space="preserve">Is Contributed list updated in Schedule B and RRF-1 </t>
  </si>
  <si>
    <t>Is there any other contribution</t>
  </si>
  <si>
    <t>Is Contributed list updated in Schedule B</t>
  </si>
  <si>
    <t>Is there any Non cash contribution more than $25000</t>
  </si>
  <si>
    <t xml:space="preserve">Are details updated in Schedule M </t>
  </si>
  <si>
    <t>Is there any donated services / In-Kind service</t>
  </si>
  <si>
    <t>Is it part of reconciliation on page -12 and schedule D</t>
  </si>
  <si>
    <t>Is there any Unrealized Gain / Loss</t>
  </si>
  <si>
    <t>Is there any Program Service Revenue</t>
  </si>
  <si>
    <t>Is it reconciled with Page 2</t>
  </si>
  <si>
    <t>Is there any Investment Income</t>
  </si>
  <si>
    <t>It should be Gross income without effect of Unrealized gain and Investment Exp</t>
  </si>
  <si>
    <t>Is there any Investment Management Exp</t>
  </si>
  <si>
    <t>Is it showing in Line 11f of part IX</t>
  </si>
  <si>
    <t>Is there Fundraising Income More Than $15000</t>
  </si>
  <si>
    <t>Is Schedule G Filled properly</t>
  </si>
  <si>
    <t>Expenses - Checks</t>
  </si>
  <si>
    <t>Is there any Grants and Other Assistance paid more than $5000</t>
  </si>
  <si>
    <t>Is Schedule I Filled Properly</t>
  </si>
  <si>
    <t>Is there Professional Fundraising Services More Than $15000</t>
  </si>
  <si>
    <t xml:space="preserve">Is there any Depreciation expenses </t>
  </si>
  <si>
    <t>Is Form 3885 or 3885F Filled properly</t>
  </si>
  <si>
    <t>Is Total of Program Service Expenses Reconciled with page 2</t>
  </si>
  <si>
    <t>Balance Sheet - Checks</t>
  </si>
  <si>
    <t>Is there any receivable from or payable to disqualified person</t>
  </si>
  <si>
    <t>Is Schedule L filled properly and Line 1 of RRF-1 marked yes</t>
  </si>
  <si>
    <t>Is there any other transaction with disqualified person</t>
  </si>
  <si>
    <t>No</t>
  </si>
  <si>
    <t>Is there any Escrow and Custodial Arrangements</t>
  </si>
  <si>
    <t>Is Part IV of Schedule D filled properly</t>
  </si>
  <si>
    <t xml:space="preserve">Is there any fixed assets </t>
  </si>
  <si>
    <t>Is Part VI of schedule D matched with Audit Report</t>
  </si>
  <si>
    <t>Is organization hold assets in donor-restricted endowments</t>
  </si>
  <si>
    <t>Is Part V of Schedule D filled properly</t>
  </si>
  <si>
    <t>Is there any related party (See Note in Audit Report)</t>
  </si>
  <si>
    <t>Is Schedule R filled properly</t>
  </si>
  <si>
    <t>Other - Checks</t>
  </si>
  <si>
    <t>Is all revenue figures updated in schedule A</t>
  </si>
  <si>
    <t>Is Form-199 figures matched with Audit Report or Books</t>
  </si>
  <si>
    <t>Yes</t>
  </si>
  <si>
    <t xml:space="preserve">Are figures updated in Form RRF-1 </t>
  </si>
  <si>
    <t>Is it being submitted per Final Audit Report figures</t>
  </si>
  <si>
    <t>Are these lines marked "✔" (Part IV Line 12a/b, Part XII Line 2a,b,c, RRF-1 Line 8)</t>
  </si>
  <si>
    <t>Is there any footnote regarding the uncertain income tax position in the Final Audit Report</t>
  </si>
  <si>
    <t>Is it stated in Schedule D Supplemental Information</t>
  </si>
  <si>
    <t>Is single audit applicable in Audit Report (SEFA)</t>
  </si>
  <si>
    <t>Are these lines marked "✔" (Part XII Line 3a and 3b)</t>
  </si>
  <si>
    <t>Is the FY ending other than December</t>
  </si>
  <si>
    <t>Is CA copy made and compensation statement generated in form 199.</t>
  </si>
  <si>
    <t>Part VIII - Statement of Revenue</t>
  </si>
  <si>
    <t>Line</t>
  </si>
  <si>
    <t>Particulars</t>
  </si>
  <si>
    <t>Total Revenue</t>
  </si>
  <si>
    <t>Related or Exempt Function Income</t>
  </si>
  <si>
    <t>Unrelated Business Revenue</t>
  </si>
  <si>
    <t>Revenue excluded from tax under $512, 513 or 514</t>
  </si>
  <si>
    <t>Last Year</t>
  </si>
  <si>
    <t>1a</t>
  </si>
  <si>
    <t>Federated Campaigns</t>
  </si>
  <si>
    <t>1b</t>
  </si>
  <si>
    <t>Membership Dues</t>
  </si>
  <si>
    <t>1c</t>
  </si>
  <si>
    <t>Fundraising Events</t>
  </si>
  <si>
    <t>1d</t>
  </si>
  <si>
    <t>Related Organisations</t>
  </si>
  <si>
    <t>1e</t>
  </si>
  <si>
    <t>Government Grants/ Contributions</t>
  </si>
  <si>
    <t>1f</t>
  </si>
  <si>
    <t>All Other contributions, gifts, grants and similar amounts not listed above</t>
  </si>
  <si>
    <t>1g</t>
  </si>
  <si>
    <t>Noncash Contributions included in lines 1a-1f</t>
  </si>
  <si>
    <t>1h</t>
  </si>
  <si>
    <r>
      <t xml:space="preserve">Total. </t>
    </r>
    <r>
      <rPr>
        <sz val="11"/>
        <color theme="1"/>
        <rFont val="Calibri"/>
        <family val="2"/>
        <scheme val="minor"/>
      </rPr>
      <t>Add Lines 1a-1f</t>
    </r>
  </si>
  <si>
    <t>Program Service Revenue</t>
  </si>
  <si>
    <t>Business Code</t>
  </si>
  <si>
    <t>2a</t>
  </si>
  <si>
    <t>2b</t>
  </si>
  <si>
    <t>2c</t>
  </si>
  <si>
    <t>2d</t>
  </si>
  <si>
    <t>2e</t>
  </si>
  <si>
    <t>2f</t>
  </si>
  <si>
    <t>All other program service revenue</t>
  </si>
  <si>
    <t>2g</t>
  </si>
  <si>
    <r>
      <rPr>
        <b/>
        <sz val="11"/>
        <color theme="1"/>
        <rFont val="Calibri"/>
        <family val="2"/>
        <scheme val="minor"/>
      </rPr>
      <t>Total.</t>
    </r>
    <r>
      <rPr>
        <sz val="11"/>
        <color theme="1"/>
        <rFont val="Calibri"/>
        <family val="2"/>
        <scheme val="minor"/>
      </rPr>
      <t xml:space="preserve"> Add Lines 2a-2f</t>
    </r>
  </si>
  <si>
    <t>Investment Income (dividends, interest and other similar amounts)</t>
  </si>
  <si>
    <t>Income from Investment of tax-exempt bond proceeds</t>
  </si>
  <si>
    <t>Royalties</t>
  </si>
  <si>
    <t>Real</t>
  </si>
  <si>
    <t>Personal</t>
  </si>
  <si>
    <t>6a</t>
  </si>
  <si>
    <t>Gross Rents</t>
  </si>
  <si>
    <t>6b</t>
  </si>
  <si>
    <t>Less: Rental Expenses</t>
  </si>
  <si>
    <t>6c</t>
  </si>
  <si>
    <t>Rental Income or (Loss)</t>
  </si>
  <si>
    <t>6d</t>
  </si>
  <si>
    <t>Net Rental Income or (Loss)</t>
  </si>
  <si>
    <t xml:space="preserve">Securities </t>
  </si>
  <si>
    <t>Other</t>
  </si>
  <si>
    <t>7a</t>
  </si>
  <si>
    <t>Gross Amounts from Sales of Assets other than Inventory</t>
  </si>
  <si>
    <t>7b</t>
  </si>
  <si>
    <t>Less: Cost or Other Basis and sales expenses</t>
  </si>
  <si>
    <t>7c</t>
  </si>
  <si>
    <t>Gain or (Loss)</t>
  </si>
  <si>
    <t>7d</t>
  </si>
  <si>
    <t>Net Gain or (Loss)</t>
  </si>
  <si>
    <t>8a</t>
  </si>
  <si>
    <t>Gross Income from fundraising activities 
(not including contributions on line 1c)</t>
  </si>
  <si>
    <t>8b</t>
  </si>
  <si>
    <t>Less: Direct Expenses</t>
  </si>
  <si>
    <t>8c</t>
  </si>
  <si>
    <t>Net Income or (loss) from fund raising activities</t>
  </si>
  <si>
    <t>9a</t>
  </si>
  <si>
    <t>Gross Income from Gaming Activities</t>
  </si>
  <si>
    <t>9b</t>
  </si>
  <si>
    <t>9c</t>
  </si>
  <si>
    <t>Net Income or (loss) from gaming activities</t>
  </si>
  <si>
    <t>10a</t>
  </si>
  <si>
    <t>Gross Sales of Inventory, less returns and allowances</t>
  </si>
  <si>
    <t>10b</t>
  </si>
  <si>
    <t>Less: COGS</t>
  </si>
  <si>
    <t>10c</t>
  </si>
  <si>
    <t>Net Income or (loss) from Sales of Inventory</t>
  </si>
  <si>
    <t>Miscellaneous revenue</t>
  </si>
  <si>
    <t>11a</t>
  </si>
  <si>
    <t>11b</t>
  </si>
  <si>
    <t>11c</t>
  </si>
  <si>
    <t>11d</t>
  </si>
  <si>
    <t>All other revenue</t>
  </si>
  <si>
    <t>11e</t>
  </si>
  <si>
    <r>
      <rPr>
        <b/>
        <sz val="11"/>
        <color theme="1"/>
        <rFont val="Calibri"/>
        <family val="2"/>
        <scheme val="minor"/>
      </rPr>
      <t>Total.</t>
    </r>
    <r>
      <rPr>
        <sz val="11"/>
        <color theme="1"/>
        <rFont val="Calibri"/>
        <family val="2"/>
        <scheme val="minor"/>
      </rPr>
      <t xml:space="preserve"> (Line 11a-11d)</t>
    </r>
  </si>
  <si>
    <t>Part IX: Statement of Functional Expenses</t>
  </si>
  <si>
    <t>Total</t>
  </si>
  <si>
    <t>Program Service</t>
  </si>
  <si>
    <t>Management</t>
  </si>
  <si>
    <t>Fundraising</t>
  </si>
  <si>
    <t>Grants and other assistance to domestic governments and domestic organisations</t>
  </si>
  <si>
    <t>Grants and other assistance to domestic individuals</t>
  </si>
  <si>
    <t>Grants and other assistance foreign organizations, foreign governments and foreign individuals</t>
  </si>
  <si>
    <t>Benefits paid to or for members</t>
  </si>
  <si>
    <t>Compensation of Current officers, directors, trustees and key employees</t>
  </si>
  <si>
    <t>Compensations not included above to disqualified persons</t>
  </si>
  <si>
    <t>Other Salaries and wages</t>
  </si>
  <si>
    <t>Pension plam accruals &amp; contributions (incl. 401(k) and 403(b) employer contr.)</t>
  </si>
  <si>
    <t>Other Employee Benefits</t>
  </si>
  <si>
    <t>Payroll taxes</t>
  </si>
  <si>
    <t>Legal</t>
  </si>
  <si>
    <t>Accounting</t>
  </si>
  <si>
    <t>Lobbying</t>
  </si>
  <si>
    <t>Professional Fundraising services</t>
  </si>
  <si>
    <t>11f</t>
  </si>
  <si>
    <t>Investment Management Fees</t>
  </si>
  <si>
    <t>11g</t>
  </si>
  <si>
    <t>Other Fees for service</t>
  </si>
  <si>
    <t>Advertising and promotion</t>
  </si>
  <si>
    <t>Office Expenses</t>
  </si>
  <si>
    <t>Information technology</t>
  </si>
  <si>
    <t>Occupancy</t>
  </si>
  <si>
    <t>Travel</t>
  </si>
  <si>
    <t>Travel/ Entertainment for any federal, state, or local public officials</t>
  </si>
  <si>
    <t>Conferences, conventions and meetings</t>
  </si>
  <si>
    <t>Interest</t>
  </si>
  <si>
    <t>Payments to affiliates</t>
  </si>
  <si>
    <t>Depreciation, depletion and amortization</t>
  </si>
  <si>
    <t>Insurance</t>
  </si>
  <si>
    <t>Other Expenses. Itemize expenses not covered above (List Misc. expenses on 24e and not on lines 24a-d. If line 24e amount exceeds 10% of line 25, column(A) amouont, list line 24e expenses on schedule O)</t>
  </si>
  <si>
    <t>24a</t>
  </si>
  <si>
    <t>24b</t>
  </si>
  <si>
    <t>24c</t>
  </si>
  <si>
    <t>24d</t>
  </si>
  <si>
    <t>24e</t>
  </si>
  <si>
    <t xml:space="preserve">All Other </t>
  </si>
  <si>
    <t>Total Functional Expenses</t>
  </si>
  <si>
    <t>Part X - Balance Sheet</t>
  </si>
  <si>
    <t>Beginning of year</t>
  </si>
  <si>
    <t>End of Year</t>
  </si>
  <si>
    <t>Assets</t>
  </si>
  <si>
    <t>Cash - Non Interest Bearing</t>
  </si>
  <si>
    <t>Saving and Temporary Cash Investments</t>
  </si>
  <si>
    <t>Pledges and grants receivable, net</t>
  </si>
  <si>
    <t>Accounts Receivable, net</t>
  </si>
  <si>
    <t>Receivables from Current and Former Officers, Directors, Trustees, Key Employees, creator or founder, substantial contributor, or 35% controlled entity or family member of any of these persons (Sch. L)</t>
  </si>
  <si>
    <t>Receivables from other Disqulified Persons</t>
  </si>
  <si>
    <t>Notes and Loans Receivable, net</t>
  </si>
  <si>
    <t>Inventories for sale or use</t>
  </si>
  <si>
    <t>Prepaid Expenses and Deferred Charges</t>
  </si>
  <si>
    <t>Land, Buildings and Equipment</t>
  </si>
  <si>
    <t>Less: Accumulated Depriciation</t>
  </si>
  <si>
    <t>Land, Buildings and Equipment - Net</t>
  </si>
  <si>
    <t>Investments - Publicly Traded Securities</t>
  </si>
  <si>
    <t>Investments - OtherSecurities</t>
  </si>
  <si>
    <t>Investments - Program related</t>
  </si>
  <si>
    <t>Intangible Assets</t>
  </si>
  <si>
    <t>Other  assets</t>
  </si>
  <si>
    <t>Total Assets</t>
  </si>
  <si>
    <t>Liabilities</t>
  </si>
  <si>
    <t>Accounts Payable and Accrued Expenses</t>
  </si>
  <si>
    <t>Grants Payable</t>
  </si>
  <si>
    <t>Deferred Revenue</t>
  </si>
  <si>
    <t>Tax-Exempt Bond Liabilities</t>
  </si>
  <si>
    <t>Escrow or custodial account liability</t>
  </si>
  <si>
    <t>Payables to current or former Officers, Directors, Trustees and Key Employees, Highest compensated employees and disqualified persons</t>
  </si>
  <si>
    <t>Secured Mortgages and Notes Payable to unrelated third parties</t>
  </si>
  <si>
    <t>Unsecured notes and loans payable to unrelated third parties</t>
  </si>
  <si>
    <t>Other Liabilities (incl. federal income tax, payables to related thord parties and other liabilities not included above)</t>
  </si>
  <si>
    <t>Total Liabilities</t>
  </si>
  <si>
    <t>Net Assets or fund balances</t>
  </si>
  <si>
    <t>Organizations that follow FASB ASC 958, complete lines 27, 28, 32, and 33</t>
  </si>
  <si>
    <t>Net assets without donor restrictions</t>
  </si>
  <si>
    <t>Net assets with donor restrictions</t>
  </si>
  <si>
    <t>Organizations that do not follow FASB ASC 958, complete lines 29 through 33.</t>
  </si>
  <si>
    <t>Capital Stock or trust principal or current funds</t>
  </si>
  <si>
    <t>Paid in or Capital Surplus, or land, building, or equipment funds</t>
  </si>
  <si>
    <t>Retained Earnings, endowment, accumulated income, or other funds</t>
  </si>
  <si>
    <t>Total Net Assets or Fund Balances</t>
  </si>
  <si>
    <t>Total Liabilities and Net Assets or Fund Balances</t>
  </si>
  <si>
    <t>Check</t>
  </si>
  <si>
    <t>Schedule D, Part XI - Recon. Of Revenue per AFS with Form 990</t>
  </si>
  <si>
    <t>Amount</t>
  </si>
  <si>
    <t>Total Revenue per AFS</t>
  </si>
  <si>
    <t>a. New Unrealized Gains (losses) on Investments</t>
  </si>
  <si>
    <t>Adj-UG</t>
  </si>
  <si>
    <t>b. Donated Services and use of facilities</t>
  </si>
  <si>
    <t>Adj-DS</t>
  </si>
  <si>
    <t>c. Recoveries of Prior year Grants</t>
  </si>
  <si>
    <t>Adj-PY</t>
  </si>
  <si>
    <t xml:space="preserve">d. Other </t>
  </si>
  <si>
    <t>Adj-Other</t>
  </si>
  <si>
    <t>a. Investment Expenses not included on Form 990, Part VIII, line 7b</t>
  </si>
  <si>
    <t>Adj-IE</t>
  </si>
  <si>
    <t xml:space="preserve">b. Other </t>
  </si>
  <si>
    <t>Total Revenue (Part VIII , Line 12)</t>
  </si>
  <si>
    <t>Schedule D, Part XII - Recon. Of Expenses per AFS with Form 990</t>
  </si>
  <si>
    <t>Total Expenses as per AFS</t>
  </si>
  <si>
    <t>a. Donated Services and use of facilities</t>
  </si>
  <si>
    <t>b. PY Adjustments</t>
  </si>
  <si>
    <t>c. Other Losses</t>
  </si>
  <si>
    <t>Adj-Other Loss</t>
  </si>
  <si>
    <t>Total Expenses (Part IX , Line 25)</t>
  </si>
  <si>
    <t>Part XI - Reconciliation of Net Assets</t>
  </si>
  <si>
    <t>1. Total Revenue (must equal Part VIII, Column (A), line 12)</t>
  </si>
  <si>
    <t>2. Total expenses (must equal Part IX, column (A), line 25)</t>
  </si>
  <si>
    <t>3. Revenue less expenses. Subtract line 2 from line 1</t>
  </si>
  <si>
    <t>4. Net assets or fund balances at beginning of year (must equal Part X, line 32, column (A))</t>
  </si>
  <si>
    <t>5. Net unrealized gains (losses) on investments</t>
  </si>
  <si>
    <t>6. Donated services and use of facilities</t>
  </si>
  <si>
    <t>7. Investment expenses</t>
  </si>
  <si>
    <t>8. Prior period adjustments</t>
  </si>
  <si>
    <t>9. Other changes in net assets or fund balances</t>
  </si>
  <si>
    <t>10. Net assets or fund balances at end of year. Combine lines 3 through 9 (must equal Part X, line 32, column (B))</t>
  </si>
  <si>
    <t>Related</t>
  </si>
  <si>
    <t>Unrelated</t>
  </si>
  <si>
    <t>Excluded in 512-514</t>
  </si>
  <si>
    <t>Total (As per Audit Report)</t>
  </si>
  <si>
    <t>* If you have bifurcated any head below, Don't Map in the above statement, Mapping should be done below only</t>
  </si>
  <si>
    <t>* DO NOT USE CUT (CRTL+X)</t>
  </si>
  <si>
    <t>PROGRAM SERVICES</t>
  </si>
  <si>
    <t>SUPPORTING SERVICES</t>
  </si>
  <si>
    <t>TOTAL (As Per Audit Report)</t>
  </si>
  <si>
    <t>Total Salaries and Benefits</t>
  </si>
  <si>
    <t>Compensation to Officer</t>
  </si>
  <si>
    <t>Other Salaries</t>
  </si>
  <si>
    <t>Pension</t>
  </si>
  <si>
    <t>Other Benefits</t>
  </si>
  <si>
    <t>Payroll Taxes</t>
  </si>
  <si>
    <t>Compensation Working</t>
  </si>
  <si>
    <t>Total Salaries and Benefits (as per audit report)</t>
  </si>
  <si>
    <t xml:space="preserve">Officer, Director Salaries and Benefits </t>
  </si>
  <si>
    <t>Remaining Salaries and Benefits</t>
  </si>
  <si>
    <t>Program Exp</t>
  </si>
  <si>
    <t>Management &amp; General</t>
  </si>
  <si>
    <t xml:space="preserve">Salaries </t>
  </si>
  <si>
    <t>Pension Plan</t>
  </si>
  <si>
    <t>Schedule Template</t>
  </si>
  <si>
    <t>Officer</t>
  </si>
  <si>
    <t>Base Contribution</t>
  </si>
  <si>
    <t>Benefits</t>
  </si>
  <si>
    <t>STATEMENT OF FINANCIAL POSITION</t>
  </si>
  <si>
    <t>990 Mapping (LY)</t>
  </si>
  <si>
    <t>990 Mapping (CY)</t>
  </si>
  <si>
    <t>Current assets</t>
  </si>
  <si>
    <t>Investments</t>
  </si>
  <si>
    <t>Total current assets</t>
  </si>
  <si>
    <t>Noncurrent assets</t>
  </si>
  <si>
    <t>Property and Equipment, net</t>
  </si>
  <si>
    <t>Refer to below Working</t>
  </si>
  <si>
    <t>Total noncurrent assets</t>
  </si>
  <si>
    <t>LIABILITIES AND NET ASSETS</t>
  </si>
  <si>
    <t>LIABILITIES</t>
  </si>
  <si>
    <t>Current liabilities</t>
  </si>
  <si>
    <t>Total current liabilities</t>
  </si>
  <si>
    <t>NET ASSETS</t>
  </si>
  <si>
    <t>Without donor restrictions</t>
  </si>
  <si>
    <t>With donor restrictions</t>
  </si>
  <si>
    <t>Total Net Assets</t>
  </si>
  <si>
    <t>Total liabilities and net assets</t>
  </si>
  <si>
    <t>Fixed Assets:</t>
  </si>
  <si>
    <t>Cost</t>
  </si>
  <si>
    <t>less: Accumulated Depreciation</t>
  </si>
  <si>
    <t>Net Fixed Assets</t>
  </si>
  <si>
    <t>Event expenses</t>
  </si>
  <si>
    <t>Refer to Below Working</t>
  </si>
  <si>
    <t>Other services</t>
  </si>
  <si>
    <t>Office expenses</t>
  </si>
  <si>
    <t>Depreciation</t>
  </si>
  <si>
    <t>Prepaid expenses</t>
  </si>
  <si>
    <t>Contracts and awards</t>
  </si>
  <si>
    <t>Grants</t>
  </si>
  <si>
    <t>Donations</t>
  </si>
  <si>
    <t>Contribution of non-financial asset</t>
  </si>
  <si>
    <t>Special Events</t>
  </si>
  <si>
    <t>Program fees</t>
  </si>
  <si>
    <t>Investment income, net</t>
  </si>
  <si>
    <t>Other income</t>
  </si>
  <si>
    <t>HIAS(Per GL)</t>
  </si>
  <si>
    <t>Remaining Contracts and Awards</t>
  </si>
  <si>
    <t>Government Contributors(Per GL Code- 4002)</t>
  </si>
  <si>
    <t>Government Non-Cash Contribution</t>
  </si>
  <si>
    <t>Stock Donation</t>
  </si>
  <si>
    <t>Remaining Contributors</t>
  </si>
  <si>
    <t>Remaining Donations</t>
  </si>
  <si>
    <t>Gross Receipts</t>
  </si>
  <si>
    <t>Less: Contribution</t>
  </si>
  <si>
    <t>Gross income</t>
  </si>
  <si>
    <t>Net income</t>
  </si>
  <si>
    <t>Unrealized Gain</t>
  </si>
  <si>
    <t>Interest Income</t>
  </si>
  <si>
    <t>Realized Loss</t>
  </si>
  <si>
    <t>Gross Amount from sale of assets other than Inventory</t>
  </si>
  <si>
    <t>Cost or Other basis and sales expenses</t>
  </si>
  <si>
    <t>7a-S</t>
  </si>
  <si>
    <t>7b-S</t>
  </si>
  <si>
    <t>Salaries and wages</t>
  </si>
  <si>
    <t>Employee benefits</t>
  </si>
  <si>
    <t>Advertising</t>
  </si>
  <si>
    <t>Professional services</t>
  </si>
  <si>
    <t>Lease amoritization</t>
  </si>
  <si>
    <t>IT services</t>
  </si>
  <si>
    <t>Bad debts expense</t>
  </si>
  <si>
    <t>Conferences and meetings</t>
  </si>
  <si>
    <t>Payroll fees and other administration</t>
  </si>
  <si>
    <t>Staffing and Hiring</t>
  </si>
  <si>
    <t>(Bank and Credit Card Charge)</t>
  </si>
  <si>
    <t>Less - Investment Management Fees(Per Audit Report- Investment Note)</t>
  </si>
  <si>
    <t>Remaining Office Expenses</t>
  </si>
  <si>
    <t>Operating Expenses:6380 . Travel</t>
  </si>
  <si>
    <t>Operating Expenses:Conference and Meetings</t>
  </si>
  <si>
    <t>Grants &amp; other assistance to domestic individuals</t>
  </si>
  <si>
    <t>Other Grants</t>
  </si>
  <si>
    <t>Cash &amp; Cash Equivalents</t>
  </si>
  <si>
    <t>Account Receivables</t>
  </si>
  <si>
    <t>Benefits Receivable</t>
  </si>
  <si>
    <t>Pledges Receivable, net of allowance</t>
  </si>
  <si>
    <t>Security Deposits</t>
  </si>
  <si>
    <t>Refer to Below working</t>
  </si>
  <si>
    <t>Pledges Receivable, net of current portion</t>
  </si>
  <si>
    <t>Operating lease rights of use assets, net</t>
  </si>
  <si>
    <t xml:space="preserve">Accounts payable &amp; accrued liabilities </t>
  </si>
  <si>
    <t>Accrued personnel liabilities</t>
  </si>
  <si>
    <t xml:space="preserve">Other Liability </t>
  </si>
  <si>
    <t>Operating lease liabilities</t>
  </si>
  <si>
    <t>Non-Current liabilities</t>
  </si>
  <si>
    <t>Operating lease liabilities, net of current portion</t>
  </si>
  <si>
    <t>Total Non-current liabilities</t>
  </si>
  <si>
    <t>Bank of America</t>
  </si>
  <si>
    <t>BOA - Money Market</t>
  </si>
  <si>
    <t>BOA-CD Account</t>
  </si>
  <si>
    <t>First Republic Bank</t>
  </si>
  <si>
    <t>FRB - ICS</t>
  </si>
  <si>
    <t>PayPal</t>
  </si>
  <si>
    <t>Petty Cash</t>
  </si>
  <si>
    <t>Petty Cash for Refugees</t>
  </si>
  <si>
    <t>Operating lease rights of use assets</t>
  </si>
  <si>
    <t>Accumulated Amortization</t>
  </si>
  <si>
    <t>Account</t>
  </si>
  <si>
    <t>Prelim</t>
  </si>
  <si>
    <t>Adj's</t>
  </si>
  <si>
    <t>Reclass</t>
  </si>
  <si>
    <t>Rep</t>
  </si>
  <si>
    <t>Annotation</t>
  </si>
  <si>
    <t>Rep 06/23</t>
  </si>
  <si>
    <t>%Chg</t>
  </si>
  <si>
    <t>1001 First Republic Bank</t>
  </si>
  <si>
    <t>1002 FRB - ICS</t>
  </si>
  <si>
    <t>1003 Chase Bank</t>
  </si>
  <si>
    <t>1010 Bank of America</t>
  </si>
  <si>
    <t>1020 BOA - Money Market</t>
  </si>
  <si>
    <t>1070 Petty Cash</t>
  </si>
  <si>
    <t>1072 Petty Cash for Refugees</t>
  </si>
  <si>
    <t>1080 PayPal</t>
  </si>
  <si>
    <t>10000   Cash and Cash Equivalents</t>
  </si>
  <si>
    <t>1305 Investments:RBC</t>
  </si>
  <si>
    <t>1306 Investments:JSV Investment</t>
  </si>
  <si>
    <t>1308 RBC- Endowment</t>
  </si>
  <si>
    <t>11000   Investment</t>
  </si>
  <si>
    <t>1200 Accounts Receivable</t>
  </si>
  <si>
    <t>12100   Accounts Receivable</t>
  </si>
  <si>
    <t>1235 Grant Rev Not Billed</t>
  </si>
  <si>
    <t>12200   Grants Receivable</t>
  </si>
  <si>
    <t>1210 Allowance on Pledges Receivable</t>
  </si>
  <si>
    <t>1215 Pledges Receivable</t>
  </si>
  <si>
    <t>12500   Pledges Receivable</t>
  </si>
  <si>
    <t>1301 Benefits Receivable</t>
  </si>
  <si>
    <t>12700   Benefits Receivable</t>
  </si>
  <si>
    <t>1303 Deposits</t>
  </si>
  <si>
    <t>12800   Deposit</t>
  </si>
  <si>
    <t>1320 Inventory - Gift cards</t>
  </si>
  <si>
    <t>13000   Inventory</t>
  </si>
  <si>
    <t>1365 Prepaid Expenses</t>
  </si>
  <si>
    <t>14000   Prepaid Expenses</t>
  </si>
  <si>
    <t>1810 Equipment</t>
  </si>
  <si>
    <t>15000   Property &amp; Equipment</t>
  </si>
  <si>
    <t>1800 Accumulated Depreciation</t>
  </si>
  <si>
    <t>15500   Accumulated Depreciation</t>
  </si>
  <si>
    <t>1901 Right of Use Assets</t>
  </si>
  <si>
    <t>1901.1 Right of use asset accumulated amortization Asset</t>
  </si>
  <si>
    <t>16000   Right of Use Assets</t>
  </si>
  <si>
    <t>2000 Accounts Payable</t>
  </si>
  <si>
    <t>21000   Accounts Payable</t>
  </si>
  <si>
    <t>2028 Accrued Expenses</t>
  </si>
  <si>
    <t>2041 Accrued Payroll</t>
  </si>
  <si>
    <t>2045 403B 'EE Liability</t>
  </si>
  <si>
    <t>2046 401B / FLAP 'ER liability</t>
  </si>
  <si>
    <t>22000   Accrued Expenses</t>
  </si>
  <si>
    <t>2031 Payroll Tax Liabilities:SUI</t>
  </si>
  <si>
    <t>2032 Payroll Tax Liabilities:State Withholding</t>
  </si>
  <si>
    <t>2033 Payroll Tax Liabilities:Federal Withholding</t>
  </si>
  <si>
    <t>22200   Payroll Liabilities</t>
  </si>
  <si>
    <t>2020 Accrued Vacation</t>
  </si>
  <si>
    <t>22500   Accrued Compensation</t>
  </si>
  <si>
    <t>2038 Divvy - Credit Card</t>
  </si>
  <si>
    <t>2048 Garnishments</t>
  </si>
  <si>
    <t>24000   Other Current Liability</t>
  </si>
  <si>
    <t>2701 Lease liability Long-term</t>
  </si>
  <si>
    <t>25000   Lease Liability Long term</t>
  </si>
  <si>
    <t>2037 Deferred Revenue</t>
  </si>
  <si>
    <t>26000   Deferred Revenue</t>
  </si>
  <si>
    <t>3004 Net Assets With Restrictions</t>
  </si>
  <si>
    <t>31000   Purpose and time restrictions</t>
  </si>
  <si>
    <t>3003 Net Assets Without Restrictions</t>
  </si>
  <si>
    <t>3061 1110 . Net Asset Allocation</t>
  </si>
  <si>
    <t>32000   Without Donor Restrictions</t>
  </si>
  <si>
    <t>NETINC Net Income (Loss)</t>
  </si>
  <si>
    <t>33000   Net Income (Loss)</t>
  </si>
  <si>
    <t>4010 Contracts: (Matching Grant)</t>
  </si>
  <si>
    <t>41000   Contract and awards</t>
  </si>
  <si>
    <t>4110 4110 . Grants</t>
  </si>
  <si>
    <t>4120 Chai House Income</t>
  </si>
  <si>
    <t>4156 Other foundations</t>
  </si>
  <si>
    <t>42000   Grants</t>
  </si>
  <si>
    <t>4040 Donations &amp; Fundraising:Tributes and Donations</t>
  </si>
  <si>
    <t>4301 Donations &amp; Fundraising</t>
  </si>
  <si>
    <t>4302 Services Where Most Needed</t>
  </si>
  <si>
    <t>4310 Endowment Donation</t>
  </si>
  <si>
    <t>4315 Donations &amp; Fundraising - Other</t>
  </si>
  <si>
    <t>43000   Donations</t>
  </si>
  <si>
    <t>5023 Donations &amp; Fundraising:In-Kind Donations</t>
  </si>
  <si>
    <t>43500   In-Kind Donations</t>
  </si>
  <si>
    <t>5006 Events:Event Income</t>
  </si>
  <si>
    <t>5007 Events:Event Expenses</t>
  </si>
  <si>
    <t>44000   Special Events</t>
  </si>
  <si>
    <t>4170 Counseling and Homecare Fees:4170 . Counseling Fee</t>
  </si>
  <si>
    <t>5026 Counseling and Homecare Fees:Home Care Income</t>
  </si>
  <si>
    <t>45000   Program Fees</t>
  </si>
  <si>
    <t>4013 7010 . Investment Income</t>
  </si>
  <si>
    <t>46000   Investment income</t>
  </si>
  <si>
    <t>4014 Other Income</t>
  </si>
  <si>
    <t>4016 Other Income:Other</t>
  </si>
  <si>
    <t>46500   Other Income</t>
  </si>
  <si>
    <t>4001 Restricted Activities:Releases From Restrictions</t>
  </si>
  <si>
    <t>4002 Restricted Activities:Restricted Contributions</t>
  </si>
  <si>
    <t>4003 Use of Restricted Funds</t>
  </si>
  <si>
    <t>47000   Use of Restricted Funds</t>
  </si>
  <si>
    <t>6095 Personnel:Salaries</t>
  </si>
  <si>
    <t>7035 Personnel:Vacation</t>
  </si>
  <si>
    <t>51000   Salaries and wages</t>
  </si>
  <si>
    <t>7019 Personnel:Payroll Taxes</t>
  </si>
  <si>
    <t>51500   Payroll Taxes</t>
  </si>
  <si>
    <t>7005 Personnel:Benefits</t>
  </si>
  <si>
    <t>7025 Personnel:Retirement</t>
  </si>
  <si>
    <t>7040 Personnel:Workers Comp.</t>
  </si>
  <si>
    <t>52000   Employee Benefits</t>
  </si>
  <si>
    <t>7009 Emergency Assistance:Professional</t>
  </si>
  <si>
    <t>7012 Emergency Assistance:Homecare</t>
  </si>
  <si>
    <t>7021 Emergency Assistance:Direct Assistance</t>
  </si>
  <si>
    <t>7026 Emergency Assistance:Housekeeping</t>
  </si>
  <si>
    <t>7027 Emergency Assistance:Housing</t>
  </si>
  <si>
    <t>7028 Emergency Assistance:Personal Care</t>
  </si>
  <si>
    <t>7029 Emergency Assistance:Phones</t>
  </si>
  <si>
    <t>7032 Emergency Assistance:Storage</t>
  </si>
  <si>
    <t>7033 Emergency Assistance:Supplies</t>
  </si>
  <si>
    <t>7034 Emergency Assistance:Transportation</t>
  </si>
  <si>
    <t>7074 Emergency Assistance:Shabbat Meals</t>
  </si>
  <si>
    <t>52500   Grants expenses</t>
  </si>
  <si>
    <t>6041 Operating Expenses:Professional Services:Other Ser</t>
  </si>
  <si>
    <t>6042 Operation:Prof. &amp; Legal Fees</t>
  </si>
  <si>
    <t>6043 Operating Expenses:Professional Services:6650 . Ac</t>
  </si>
  <si>
    <t>6096 Personnel:Staffing &amp; Hiring</t>
  </si>
  <si>
    <t>6804 Professional Services:HR</t>
  </si>
  <si>
    <t>7020 Personnel:Payroll Fees and Administration</t>
  </si>
  <si>
    <t>53000   Professional Services</t>
  </si>
  <si>
    <t>7050 Operating Expenses:Advertising</t>
  </si>
  <si>
    <t>53500   Advertising</t>
  </si>
  <si>
    <t>6045 Operating Expenses:Bank and Credit Card Charge</t>
  </si>
  <si>
    <t>6160 Operating Expenses:6160 . Dues and Subscriptions</t>
  </si>
  <si>
    <t>6250 Operating Expenses:6250 . Postage</t>
  </si>
  <si>
    <t>6260 Operating Expenses:6260 . Printing and Publication</t>
  </si>
  <si>
    <t>6504 Storage - Admin</t>
  </si>
  <si>
    <t>6550 Operating Expenses:6550 . Office Expenses</t>
  </si>
  <si>
    <t>6600 Operating Expenses Other</t>
  </si>
  <si>
    <t>7041 Facility Expense:6170 . Equipment Maintenance</t>
  </si>
  <si>
    <t>7090 Operating Expenses:Volunteer Expense</t>
  </si>
  <si>
    <t>54000   Office Expenses</t>
  </si>
  <si>
    <t>6380 Operating Expenses:6380 . Travel</t>
  </si>
  <si>
    <t>7054 Operating Expenses:Conference and Meetings</t>
  </si>
  <si>
    <t>54500   Conference and Meetings</t>
  </si>
  <si>
    <t>6035 Facility Expense:IT/Internet Service</t>
  </si>
  <si>
    <t>55000   IT Services</t>
  </si>
  <si>
    <t>7044 Facility Expense:6290 . Occupancy</t>
  </si>
  <si>
    <t>55500   Occupancy</t>
  </si>
  <si>
    <t>6514 Security Expenses</t>
  </si>
  <si>
    <t>55600   Security Expenses</t>
  </si>
  <si>
    <t>7065 In-kind donation Expense</t>
  </si>
  <si>
    <t>55700   In-kind donation Expense</t>
  </si>
  <si>
    <t>6150 6150 . Depreciation Expense</t>
  </si>
  <si>
    <t>56000   Depreciation</t>
  </si>
  <si>
    <t>6001 Right to use asset amortization expenses on ROU As</t>
  </si>
  <si>
    <t>56200   Amortization expense</t>
  </si>
  <si>
    <t>6002 Interest expense</t>
  </si>
  <si>
    <t>56300   Interest expense</t>
  </si>
  <si>
    <t>7042 Facility Expense:6180 . Insurance</t>
  </si>
  <si>
    <t>56500   Insurance</t>
  </si>
  <si>
    <t>6005 Bad Debts Expense</t>
  </si>
  <si>
    <t>57000   Bad Debts Expenses</t>
  </si>
  <si>
    <t>10:15 PM</t>
  </si>
  <si>
    <t xml:space="preserve"> </t>
  </si>
  <si>
    <t>Grant Receivable</t>
  </si>
  <si>
    <t>Chase Bank</t>
  </si>
  <si>
    <t>Deferrd revenue</t>
  </si>
  <si>
    <t>In KindDonation Expenses</t>
  </si>
  <si>
    <t>1060 - Security Program</t>
  </si>
  <si>
    <t>1000 - Admin - Other</t>
  </si>
  <si>
    <t>3100 - L'Dor V'Dor Society</t>
  </si>
  <si>
    <t>2020 - Moca Foundation</t>
  </si>
  <si>
    <t>2000 - Fundraising - Other</t>
  </si>
  <si>
    <t>4102 - CA ACS</t>
  </si>
  <si>
    <t>4103 - CA AIRS</t>
  </si>
  <si>
    <t>4201 - GG</t>
  </si>
  <si>
    <t>4203 - Match</t>
  </si>
  <si>
    <t>4202 - WF</t>
  </si>
  <si>
    <t>Total 4200 - Claims Conference</t>
  </si>
  <si>
    <t>4301 - Afghan</t>
  </si>
  <si>
    <t>4303 - County - Other</t>
  </si>
  <si>
    <t>4302 - Ukraine</t>
  </si>
  <si>
    <t>4300 - County of Santa Clara - Other</t>
  </si>
  <si>
    <t>Total 4300 - County of Santa Clara</t>
  </si>
  <si>
    <t>4400 - Health Navigator (RHPP)</t>
  </si>
  <si>
    <t>4501 - ERMA</t>
  </si>
  <si>
    <t>4505 - PC</t>
  </si>
  <si>
    <t>4506 - PC REA</t>
  </si>
  <si>
    <t>4507 - PC Sup</t>
  </si>
  <si>
    <t>4508 - PC Ukraine</t>
  </si>
  <si>
    <t>4503 - R&amp;P</t>
  </si>
  <si>
    <t>4504 - R&amp;P Addtl</t>
  </si>
  <si>
    <t>R&amp;P Afghan Refugees &amp; SIV</t>
  </si>
  <si>
    <t>4500 - HIAS - Other</t>
  </si>
  <si>
    <t>Total 4500 - HIAS</t>
  </si>
  <si>
    <t>Total 4100 - Contract</t>
  </si>
  <si>
    <t>7010 - Center for Aging - Rest</t>
  </si>
  <si>
    <t>City of Fremont</t>
  </si>
  <si>
    <t>7030 - ECH</t>
  </si>
  <si>
    <t>7040 - EFRS</t>
  </si>
  <si>
    <t>7105 - EFSP</t>
  </si>
  <si>
    <t>7060 - Holocaust</t>
  </si>
  <si>
    <t>7070 - KAVOD</t>
  </si>
  <si>
    <t>7103 - Equipped To Learn</t>
  </si>
  <si>
    <t>7101 - Berkowitz Food Fund</t>
  </si>
  <si>
    <t>7102 - EAF</t>
  </si>
  <si>
    <t>7104 - General</t>
  </si>
  <si>
    <t>Total 7100 - NOAH</t>
  </si>
  <si>
    <t>Older Adult Mental Health</t>
  </si>
  <si>
    <t>7300 - Ref Resettle &amp; Housing</t>
  </si>
  <si>
    <t>Total 7000 - Restricted</t>
  </si>
  <si>
    <t>(1000 - Admin)</t>
  </si>
  <si>
    <t>Total 1000 - Admin</t>
  </si>
  <si>
    <t>(2000 - Fundraising)</t>
  </si>
  <si>
    <t>Total 2000 - Fundraising</t>
  </si>
  <si>
    <t>(4100 - Contract)</t>
  </si>
  <si>
    <t>(4200 - Claims Conference)</t>
  </si>
  <si>
    <t>(4300 - County of Santa Clara)</t>
  </si>
  <si>
    <t>(4500 - HIAS)</t>
  </si>
  <si>
    <t>(4000 - Program)</t>
  </si>
  <si>
    <t>(7000 - Restricted)</t>
  </si>
  <si>
    <t>(7100 - NOAH)</t>
  </si>
  <si>
    <t>Total 4000 - Program</t>
  </si>
  <si>
    <t>Unclassified</t>
  </si>
  <si>
    <t>TOTAL</t>
  </si>
  <si>
    <t>Aging</t>
  </si>
  <si>
    <t>Refugee</t>
  </si>
  <si>
    <t>Ordinary Income/Expense</t>
  </si>
  <si>
    <t>Income</t>
  </si>
  <si>
    <t>4000 · Contracts</t>
  </si>
  <si>
    <t>4300 · Donations &amp; Fundraising</t>
  </si>
  <si>
    <t>4400 · Events</t>
  </si>
  <si>
    <t>Counseling and Homecare Fees</t>
  </si>
  <si>
    <t>4110 · Grants</t>
  </si>
  <si>
    <t>4600 · Investment Income</t>
  </si>
  <si>
    <t>4999 · Use of Restricted Funds</t>
  </si>
  <si>
    <t>Total Income</t>
  </si>
  <si>
    <t>Gross Profit</t>
  </si>
  <si>
    <t>Expense</t>
  </si>
  <si>
    <t>6400 · Development Expenses</t>
  </si>
  <si>
    <t>6410 · In-kind donation Expense</t>
  </si>
  <si>
    <t>Total 6400 · Development Expenses</t>
  </si>
  <si>
    <t>6000 · Indirect Costs</t>
  </si>
  <si>
    <t>6600 · Operating Expenses</t>
  </si>
  <si>
    <t>6602 · Advertising</t>
  </si>
  <si>
    <t>6604 · Bank and Credit Card Charge</t>
  </si>
  <si>
    <t>6606 · Conference and Meetings</t>
  </si>
  <si>
    <t>6630 · Office Expenses</t>
  </si>
  <si>
    <t>6632 · Postage</t>
  </si>
  <si>
    <t>6631 · Dues and Subscriptions</t>
  </si>
  <si>
    <t>6630 · Office Expenses - Other</t>
  </si>
  <si>
    <t>Total 6630 · Office Expenses</t>
  </si>
  <si>
    <t>6800 · Professional Services</t>
  </si>
  <si>
    <t>6804 · HR</t>
  </si>
  <si>
    <t>6802 · Other Services</t>
  </si>
  <si>
    <t>6808 · Legal</t>
  </si>
  <si>
    <t>6806 · Accounting</t>
  </si>
  <si>
    <t>6800 · Professional Services - Other</t>
  </si>
  <si>
    <t>Total 6800 · Professional Services</t>
  </si>
  <si>
    <t>6636 · Travel</t>
  </si>
  <si>
    <t>6640 · Volunteer Expense</t>
  </si>
  <si>
    <t>6600 · Operating Expenses - Other</t>
  </si>
  <si>
    <t>Total 6600 · Operating Expenses</t>
  </si>
  <si>
    <t>6500 · Facility Expense</t>
  </si>
  <si>
    <t>6514 · Security</t>
  </si>
  <si>
    <t>6590 · Depreciation Expense</t>
  </si>
  <si>
    <t>6504 · Storage - Admin</t>
  </si>
  <si>
    <t>6506 · Repairs &amp; Maint</t>
  </si>
  <si>
    <t>6508 · Property Insurance</t>
  </si>
  <si>
    <t>6510 · IT/Internet Service</t>
  </si>
  <si>
    <t>6512 · Occupancy</t>
  </si>
  <si>
    <t>Total 6500 · Facility Expense</t>
  </si>
  <si>
    <t>6010 · Personnel - Indirect</t>
  </si>
  <si>
    <t>6110 · Indirect Fringe Benefits</t>
  </si>
  <si>
    <t>6118 · Indirect - Retirement Benefits</t>
  </si>
  <si>
    <t>6117 · Indirect - Benefits Insurance</t>
  </si>
  <si>
    <t>6116 · Indirect - Workers Comp Ins</t>
  </si>
  <si>
    <t>6115 · Indirect - Payroll Taxes</t>
  </si>
  <si>
    <t>Total 6110 · Indirect Fringe Benefits</t>
  </si>
  <si>
    <t>6011 · Indirect Wages</t>
  </si>
  <si>
    <t>6135 · Staffing &amp; Hiring</t>
  </si>
  <si>
    <t>Total 6010 · Personnel - Indirect</t>
  </si>
  <si>
    <t>Total 6000 · Indirect Costs</t>
  </si>
  <si>
    <t>5000 · Direct Costs</t>
  </si>
  <si>
    <t>5200 · Emergency Assistance</t>
  </si>
  <si>
    <t>Total 5000 · Direct Costs</t>
  </si>
  <si>
    <t>Total Expense</t>
  </si>
  <si>
    <t>Net Ordinary Income</t>
  </si>
  <si>
    <t>Other Income/Expense</t>
  </si>
  <si>
    <t>Other Income</t>
  </si>
  <si>
    <t>7010 · Restricted Activities</t>
  </si>
  <si>
    <t>7012 · Restricted Contributions</t>
  </si>
  <si>
    <t>7014 · Releases From Restrictions</t>
  </si>
  <si>
    <t>Total 7010 · Restricted Activities</t>
  </si>
  <si>
    <t>Total Other Income</t>
  </si>
  <si>
    <t>m</t>
  </si>
  <si>
    <t>F</t>
  </si>
  <si>
    <t>p</t>
  </si>
  <si>
    <t>Adult &amp; Family Services</t>
  </si>
  <si>
    <t>Refugee Services</t>
  </si>
  <si>
    <t>Aging Services</t>
  </si>
  <si>
    <t>Professional Services - Other</t>
  </si>
  <si>
    <t>Harshwal &amp; Company LLP (As per GL)</t>
  </si>
  <si>
    <t>Other Services</t>
  </si>
  <si>
    <t>Inventory</t>
  </si>
  <si>
    <t>Frazer, Susan</t>
  </si>
  <si>
    <t>Claims Conference (Per Gl)</t>
  </si>
  <si>
    <t>In-kind donated services (per Gl)</t>
  </si>
  <si>
    <t>Amount (CY)</t>
  </si>
  <si>
    <t>Amount (LY)</t>
  </si>
  <si>
    <t>Total (LY)</t>
  </si>
  <si>
    <t>Total (CY)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</si>
</sst>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#,##0.00;\-#,##0.00;0.00"/>
    <numFmt numFmtId="166" formatCode="###0;\(###0\);0.00"/>
    <numFmt numFmtId="167" formatCode="###0;\-###0;0.00"/>
    <numFmt numFmtId="168" formatCode="#,##0.00;\(#,##0.00\);0.00"/>
    <numFmt numFmtId="169" formatCode="#,##0.00;\-#,##0.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9" tint="-0.249977111117893"/>
      <name val="Calibri"/>
      <family val="2"/>
      <scheme val="minor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80008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Tahoma"/>
      <family val="2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</font>
    <font>
      <sz val="11"/>
      <color theme="1"/>
      <name val="Wingdings 2"/>
      <family val="1"/>
      <charset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color rgb="FF000000"/>
      <name val="Arial"/>
      <family val="2"/>
    </font>
    <font>
      <b/>
      <sz val="9"/>
      <color rgb="FF800080"/>
      <name val="Arial"/>
      <family val="2"/>
    </font>
    <font>
      <b/>
      <sz val="7"/>
      <color rgb="FF0058CD"/>
      <name val="Courier New"/>
      <family val="3"/>
    </font>
    <font>
      <b/>
      <sz val="7"/>
      <color rgb="FFEA4855"/>
      <name val="Arial"/>
      <family val="2"/>
    </font>
    <font>
      <sz val="7"/>
      <color rgb="FF000000"/>
      <name val="Arial"/>
      <family val="2"/>
    </font>
    <font>
      <sz val="10"/>
      <color theme="1"/>
      <name val="Times New Roman"/>
      <family val="2"/>
    </font>
    <font>
      <b/>
      <sz val="8"/>
      <color indexed="8"/>
      <name val="Times New Roman"/>
      <family val="1"/>
    </font>
    <font>
      <sz val="11"/>
      <color indexed="8"/>
      <name val="Calibri"/>
      <family val="2"/>
    </font>
    <font>
      <sz val="8"/>
      <color indexed="8"/>
      <name val="Times New Roman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i/>
      <sz val="11"/>
      <color theme="1"/>
      <name val="Georgia"/>
      <family val="1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8" fillId="0" borderId="0"/>
    <xf numFmtId="0" fontId="8" fillId="0" borderId="0"/>
    <xf numFmtId="0" fontId="7" fillId="0" borderId="0"/>
    <xf numFmtId="0" fontId="14" fillId="0" borderId="0"/>
    <xf numFmtId="0" fontId="15" fillId="0" borderId="0"/>
    <xf numFmtId="0" fontId="16" fillId="0" borderId="0"/>
    <xf numFmtId="0" fontId="16" fillId="0" borderId="0"/>
    <xf numFmtId="0" fontId="8" fillId="0" borderId="0"/>
    <xf numFmtId="0" fontId="7" fillId="0" borderId="0"/>
    <xf numFmtId="0" fontId="22" fillId="0" borderId="0"/>
    <xf numFmtId="43" fontId="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6" fillId="0" borderId="0"/>
    <xf numFmtId="0" fontId="36" fillId="0" borderId="0"/>
    <xf numFmtId="0" fontId="37" fillId="0" borderId="0"/>
    <xf numFmtId="0" fontId="38" fillId="0" borderId="0"/>
    <xf numFmtId="0" fontId="39" fillId="0" borderId="0"/>
    <xf numFmtId="0" fontId="36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36" fillId="0" borderId="0"/>
    <xf numFmtId="0" fontId="41" fillId="0" borderId="0"/>
    <xf numFmtId="9" fontId="1" fillId="0" borderId="0" applyFont="0" applyFill="0" applyBorder="0" applyAlignment="0" applyProtection="0"/>
  </cellStyleXfs>
  <cellXfs count="455">
    <xf numFmtId="0" fontId="0" fillId="0" borderId="0" xfId="0"/>
    <xf numFmtId="0" fontId="3" fillId="0" borderId="0" xfId="0" applyFont="1"/>
    <xf numFmtId="0" fontId="0" fillId="0" borderId="1" xfId="0" applyBorder="1"/>
    <xf numFmtId="43" fontId="0" fillId="0" borderId="0" xfId="1" applyFont="1"/>
    <xf numFmtId="43" fontId="0" fillId="0" borderId="0" xfId="0" applyNumberFormat="1"/>
    <xf numFmtId="43" fontId="0" fillId="0" borderId="0" xfId="1" applyFont="1" applyBorder="1"/>
    <xf numFmtId="43" fontId="0" fillId="0" borderId="0" xfId="1" applyFont="1" applyFill="1" applyBorder="1"/>
    <xf numFmtId="164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/>
    <xf numFmtId="43" fontId="9" fillId="0" borderId="0" xfId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43" fontId="0" fillId="0" borderId="1" xfId="1" applyFont="1" applyFill="1" applyBorder="1"/>
    <xf numFmtId="43" fontId="0" fillId="0" borderId="1" xfId="0" applyNumberFormat="1" applyBorder="1"/>
    <xf numFmtId="43" fontId="3" fillId="0" borderId="0" xfId="0" applyNumberFormat="1" applyFont="1"/>
    <xf numFmtId="43" fontId="11" fillId="0" borderId="0" xfId="0" applyNumberFormat="1" applyFont="1"/>
    <xf numFmtId="164" fontId="3" fillId="0" borderId="0" xfId="0" applyNumberFormat="1" applyFont="1"/>
    <xf numFmtId="0" fontId="0" fillId="5" borderId="15" xfId="0" applyFill="1" applyBorder="1"/>
    <xf numFmtId="0" fontId="3" fillId="5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43" fontId="0" fillId="0" borderId="10" xfId="1" applyFont="1" applyBorder="1"/>
    <xf numFmtId="49" fontId="17" fillId="0" borderId="9" xfId="0" applyNumberFormat="1" applyFont="1" applyBorder="1"/>
    <xf numFmtId="49" fontId="17" fillId="0" borderId="0" xfId="0" applyNumberFormat="1" applyFont="1"/>
    <xf numFmtId="43" fontId="18" fillId="0" borderId="0" xfId="1" applyFont="1" applyBorder="1"/>
    <xf numFmtId="0" fontId="17" fillId="0" borderId="0" xfId="0" applyFont="1"/>
    <xf numFmtId="49" fontId="17" fillId="5" borderId="22" xfId="0" applyNumberFormat="1" applyFont="1" applyFill="1" applyBorder="1"/>
    <xf numFmtId="0" fontId="3" fillId="5" borderId="21" xfId="0" applyFont="1" applyFill="1" applyBorder="1" applyAlignment="1">
      <alignment horizontal="center"/>
    </xf>
    <xf numFmtId="43" fontId="3" fillId="5" borderId="21" xfId="1" applyFont="1" applyFill="1" applyBorder="1" applyAlignment="1">
      <alignment horizontal="center"/>
    </xf>
    <xf numFmtId="0" fontId="0" fillId="5" borderId="21" xfId="0" applyFill="1" applyBorder="1"/>
    <xf numFmtId="49" fontId="18" fillId="0" borderId="0" xfId="5" applyNumberFormat="1" applyFont="1" applyAlignment="1">
      <alignment horizontal="left"/>
    </xf>
    <xf numFmtId="49" fontId="18" fillId="0" borderId="9" xfId="0" applyNumberFormat="1" applyFont="1" applyBorder="1"/>
    <xf numFmtId="0" fontId="9" fillId="0" borderId="16" xfId="0" applyFont="1" applyBorder="1"/>
    <xf numFmtId="43" fontId="9" fillId="0" borderId="16" xfId="1" applyFont="1" applyBorder="1"/>
    <xf numFmtId="43" fontId="21" fillId="0" borderId="16" xfId="1" applyFont="1" applyFill="1" applyBorder="1"/>
    <xf numFmtId="43" fontId="9" fillId="0" borderId="16" xfId="1" applyFont="1" applyFill="1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16" xfId="1" applyNumberFormat="1" applyFont="1" applyBorder="1" applyAlignment="1">
      <alignment horizontal="center"/>
    </xf>
    <xf numFmtId="0" fontId="0" fillId="0" borderId="16" xfId="1" applyNumberFormat="1" applyFont="1" applyBorder="1" applyAlignment="1">
      <alignment horizontal="center"/>
    </xf>
    <xf numFmtId="43" fontId="3" fillId="0" borderId="4" xfId="1" applyFont="1" applyBorder="1" applyAlignment="1" applyProtection="1">
      <alignment horizontal="center"/>
    </xf>
    <xf numFmtId="43" fontId="0" fillId="2" borderId="16" xfId="1" applyFont="1" applyFill="1" applyBorder="1" applyProtection="1"/>
    <xf numFmtId="43" fontId="0" fillId="0" borderId="16" xfId="1" applyFont="1" applyBorder="1" applyProtection="1"/>
    <xf numFmtId="43" fontId="0" fillId="2" borderId="17" xfId="1" applyFont="1" applyFill="1" applyBorder="1" applyProtection="1"/>
    <xf numFmtId="43" fontId="0" fillId="0" borderId="16" xfId="1" applyFont="1" applyBorder="1"/>
    <xf numFmtId="43" fontId="0" fillId="6" borderId="16" xfId="1" applyFont="1" applyFill="1" applyBorder="1" applyProtection="1"/>
    <xf numFmtId="0" fontId="0" fillId="0" borderId="0" xfId="0" applyAlignment="1" applyProtection="1">
      <alignment vertical="center"/>
      <protection locked="0"/>
    </xf>
    <xf numFmtId="43" fontId="0" fillId="0" borderId="0" xfId="1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43" fontId="0" fillId="0" borderId="0" xfId="1" applyFont="1" applyBorder="1" applyProtection="1">
      <protection locked="0"/>
    </xf>
    <xf numFmtId="43" fontId="21" fillId="8" borderId="16" xfId="1" applyFont="1" applyFill="1" applyBorder="1" applyAlignment="1">
      <alignment horizontal="center"/>
    </xf>
    <xf numFmtId="0" fontId="11" fillId="0" borderId="1" xfId="0" applyFont="1" applyBorder="1"/>
    <xf numFmtId="0" fontId="3" fillId="0" borderId="0" xfId="0" applyFont="1" applyAlignment="1" applyProtection="1">
      <alignment horizontal="center" vertical="center"/>
      <protection locked="0"/>
    </xf>
    <xf numFmtId="43" fontId="0" fillId="0" borderId="16" xfId="1" applyFont="1" applyBorder="1" applyProtection="1">
      <protection locked="0"/>
    </xf>
    <xf numFmtId="43" fontId="0" fillId="0" borderId="0" xfId="1" applyFont="1" applyFill="1" applyBorder="1" applyProtection="1">
      <protection locked="0"/>
    </xf>
    <xf numFmtId="43" fontId="0" fillId="0" borderId="0" xfId="0" applyNumberFormat="1" applyProtection="1">
      <protection locked="0"/>
    </xf>
    <xf numFmtId="0" fontId="0" fillId="0" borderId="16" xfId="0" applyBorder="1" applyProtection="1">
      <protection locked="0"/>
    </xf>
    <xf numFmtId="164" fontId="0" fillId="0" borderId="0" xfId="0" applyNumberFormat="1" applyProtection="1">
      <protection locked="0"/>
    </xf>
    <xf numFmtId="43" fontId="0" fillId="0" borderId="16" xfId="1" applyFont="1" applyBorder="1" applyAlignment="1" applyProtection="1"/>
    <xf numFmtId="43" fontId="0" fillId="0" borderId="4" xfId="1" applyFont="1" applyBorder="1" applyProtection="1"/>
    <xf numFmtId="43" fontId="0" fillId="6" borderId="4" xfId="1" applyFont="1" applyFill="1" applyBorder="1" applyProtection="1"/>
    <xf numFmtId="0" fontId="3" fillId="0" borderId="4" xfId="0" applyFont="1" applyBorder="1" applyAlignment="1">
      <alignment horizontal="center" vertical="center"/>
    </xf>
    <xf numFmtId="43" fontId="5" fillId="0" borderId="15" xfId="1" applyFont="1" applyBorder="1" applyAlignment="1" applyProtection="1">
      <alignment horizontal="center"/>
    </xf>
    <xf numFmtId="43" fontId="0" fillId="6" borderId="15" xfId="1" applyFont="1" applyFill="1" applyBorder="1" applyProtection="1"/>
    <xf numFmtId="0" fontId="0" fillId="0" borderId="17" xfId="0" applyBorder="1" applyAlignment="1">
      <alignment horizontal="center"/>
    </xf>
    <xf numFmtId="43" fontId="5" fillId="0" borderId="15" xfId="1" applyFont="1" applyBorder="1" applyProtection="1"/>
    <xf numFmtId="43" fontId="0" fillId="0" borderId="17" xfId="1" applyFont="1" applyBorder="1" applyProtection="1"/>
    <xf numFmtId="43" fontId="3" fillId="0" borderId="4" xfId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43" fontId="0" fillId="0" borderId="0" xfId="1" applyFont="1" applyBorder="1" applyProtection="1"/>
    <xf numFmtId="43" fontId="0" fillId="0" borderId="0" xfId="1" applyFont="1" applyFill="1" applyBorder="1" applyProtection="1"/>
    <xf numFmtId="43" fontId="17" fillId="0" borderId="0" xfId="1" applyFont="1"/>
    <xf numFmtId="0" fontId="17" fillId="0" borderId="0" xfId="0" applyFont="1" applyAlignment="1">
      <alignment horizontal="center"/>
    </xf>
    <xf numFmtId="0" fontId="0" fillId="0" borderId="16" xfId="0" applyBorder="1"/>
    <xf numFmtId="43" fontId="18" fillId="0" borderId="0" xfId="1" applyFont="1" applyAlignment="1">
      <alignment horizontal="left"/>
    </xf>
    <xf numFmtId="43" fontId="18" fillId="0" borderId="0" xfId="1" applyFont="1"/>
    <xf numFmtId="43" fontId="18" fillId="0" borderId="0" xfId="1" applyFont="1" applyAlignment="1">
      <alignment horizontal="right"/>
    </xf>
    <xf numFmtId="43" fontId="17" fillId="0" borderId="0" xfId="1" applyFont="1" applyBorder="1"/>
    <xf numFmtId="43" fontId="18" fillId="0" borderId="10" xfId="1" applyFont="1" applyBorder="1"/>
    <xf numFmtId="43" fontId="17" fillId="0" borderId="10" xfId="1" applyFont="1" applyBorder="1"/>
    <xf numFmtId="43" fontId="17" fillId="5" borderId="19" xfId="1" applyFont="1" applyFill="1" applyBorder="1"/>
    <xf numFmtId="43" fontId="17" fillId="5" borderId="20" xfId="1" applyFont="1" applyFill="1" applyBorder="1"/>
    <xf numFmtId="49" fontId="18" fillId="0" borderId="6" xfId="5" applyNumberFormat="1" applyFont="1" applyBorder="1" applyAlignment="1">
      <alignment horizontal="left"/>
    </xf>
    <xf numFmtId="43" fontId="18" fillId="0" borderId="7" xfId="1" applyFont="1" applyBorder="1" applyAlignment="1">
      <alignment horizontal="left"/>
    </xf>
    <xf numFmtId="43" fontId="18" fillId="0" borderId="8" xfId="1" applyFont="1" applyBorder="1" applyAlignment="1">
      <alignment horizontal="right"/>
    </xf>
    <xf numFmtId="49" fontId="18" fillId="0" borderId="9" xfId="5" applyNumberFormat="1" applyFont="1" applyBorder="1" applyAlignment="1">
      <alignment horizontal="left"/>
    </xf>
    <xf numFmtId="43" fontId="18" fillId="0" borderId="0" xfId="1" applyFont="1" applyBorder="1" applyAlignment="1">
      <alignment horizontal="left"/>
    </xf>
    <xf numFmtId="43" fontId="18" fillId="0" borderId="10" xfId="1" applyFont="1" applyBorder="1" applyAlignment="1">
      <alignment horizontal="left"/>
    </xf>
    <xf numFmtId="43" fontId="17" fillId="0" borderId="13" xfId="1" applyFont="1" applyBorder="1" applyAlignment="1">
      <alignment horizontal="right"/>
    </xf>
    <xf numFmtId="43" fontId="17" fillId="0" borderId="12" xfId="1" applyFont="1" applyBorder="1" applyAlignment="1">
      <alignment horizontal="left"/>
    </xf>
    <xf numFmtId="49" fontId="17" fillId="0" borderId="11" xfId="5" applyNumberFormat="1" applyFont="1" applyBorder="1" applyAlignment="1">
      <alignment horizontal="left"/>
    </xf>
    <xf numFmtId="0" fontId="17" fillId="0" borderId="25" xfId="0" applyFont="1" applyBorder="1" applyAlignment="1">
      <alignment horizontal="center"/>
    </xf>
    <xf numFmtId="0" fontId="17" fillId="0" borderId="3" xfId="1" applyNumberFormat="1" applyFont="1" applyBorder="1" applyAlignment="1">
      <alignment horizontal="center"/>
    </xf>
    <xf numFmtId="0" fontId="17" fillId="0" borderId="26" xfId="1" applyNumberFormat="1" applyFont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4" fontId="0" fillId="0" borderId="0" xfId="0" applyNumberForma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4" fontId="3" fillId="0" borderId="4" xfId="1" applyNumberFormat="1" applyFont="1" applyBorder="1" applyAlignment="1" applyProtection="1">
      <alignment horizontal="center"/>
    </xf>
    <xf numFmtId="0" fontId="0" fillId="0" borderId="16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/>
    <xf numFmtId="43" fontId="0" fillId="2" borderId="4" xfId="1" applyFont="1" applyFill="1" applyBorder="1" applyProtection="1"/>
    <xf numFmtId="0" fontId="3" fillId="0" borderId="16" xfId="0" applyFont="1" applyBorder="1" applyAlignment="1">
      <alignment wrapText="1"/>
    </xf>
    <xf numFmtId="0" fontId="0" fillId="0" borderId="17" xfId="0" applyBorder="1" applyAlignment="1">
      <alignment horizontal="center" vertical="center"/>
    </xf>
    <xf numFmtId="0" fontId="3" fillId="0" borderId="17" xfId="0" applyFont="1" applyBorder="1"/>
    <xf numFmtId="43" fontId="17" fillId="0" borderId="0" xfId="1" applyFont="1" applyFill="1"/>
    <xf numFmtId="43" fontId="0" fillId="0" borderId="0" xfId="1" applyFont="1" applyFill="1" applyAlignment="1">
      <alignment horizontal="centerContinuous"/>
    </xf>
    <xf numFmtId="49" fontId="18" fillId="0" borderId="16" xfId="0" applyNumberFormat="1" applyFont="1" applyBorder="1"/>
    <xf numFmtId="0" fontId="0" fillId="0" borderId="17" xfId="0" applyBorder="1" applyProtection="1">
      <protection locked="0"/>
    </xf>
    <xf numFmtId="43" fontId="0" fillId="0" borderId="16" xfId="1" applyFont="1" applyBorder="1" applyAlignment="1" applyProtection="1">
      <alignment wrapText="1"/>
      <protection locked="0"/>
    </xf>
    <xf numFmtId="43" fontId="0" fillId="0" borderId="16" xfId="1" applyFont="1" applyFill="1" applyBorder="1" applyProtection="1">
      <protection locked="0"/>
    </xf>
    <xf numFmtId="43" fontId="0" fillId="0" borderId="17" xfId="1" applyFont="1" applyBorder="1" applyAlignment="1" applyProtection="1">
      <alignment wrapText="1"/>
      <protection locked="0"/>
    </xf>
    <xf numFmtId="43" fontId="2" fillId="0" borderId="0" xfId="1" applyFont="1" applyAlignment="1" applyProtection="1">
      <alignment horizontal="right"/>
      <protection locked="0"/>
    </xf>
    <xf numFmtId="43" fontId="3" fillId="0" borderId="29" xfId="1" applyFont="1" applyBorder="1" applyProtection="1"/>
    <xf numFmtId="43" fontId="3" fillId="0" borderId="30" xfId="1" applyFont="1" applyBorder="1" applyProtection="1"/>
    <xf numFmtId="43" fontId="1" fillId="0" borderId="21" xfId="1" applyFont="1" applyBorder="1" applyProtection="1"/>
    <xf numFmtId="43" fontId="0" fillId="0" borderId="16" xfId="1" applyFont="1" applyFill="1" applyBorder="1" applyProtection="1"/>
    <xf numFmtId="43" fontId="0" fillId="0" borderId="30" xfId="1" applyFont="1" applyFill="1" applyBorder="1" applyProtection="1"/>
    <xf numFmtId="43" fontId="0" fillId="0" borderId="21" xfId="1" applyFont="1" applyFill="1" applyBorder="1" applyProtection="1"/>
    <xf numFmtId="0" fontId="26" fillId="0" borderId="0" xfId="0" applyFont="1"/>
    <xf numFmtId="49" fontId="26" fillId="0" borderId="0" xfId="0" applyNumberFormat="1" applyFont="1"/>
    <xf numFmtId="49" fontId="27" fillId="0" borderId="0" xfId="0" applyNumberFormat="1" applyFont="1"/>
    <xf numFmtId="0" fontId="27" fillId="0" borderId="0" xfId="0" applyFont="1"/>
    <xf numFmtId="0" fontId="0" fillId="0" borderId="4" xfId="0" applyBorder="1" applyAlignment="1">
      <alignment horizontal="center"/>
    </xf>
    <xf numFmtId="37" fontId="20" fillId="0" borderId="0" xfId="0" applyNumberFormat="1" applyFont="1" applyAlignment="1">
      <alignment horizontal="center"/>
    </xf>
    <xf numFmtId="37" fontId="17" fillId="0" borderId="0" xfId="0" applyNumberFormat="1" applyFont="1" applyAlignment="1">
      <alignment horizontal="center"/>
    </xf>
    <xf numFmtId="37" fontId="0" fillId="0" borderId="0" xfId="1" applyNumberFormat="1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18" fillId="0" borderId="0" xfId="1" applyNumberFormat="1" applyFont="1" applyFill="1" applyBorder="1" applyAlignment="1">
      <alignment horizontal="center"/>
    </xf>
    <xf numFmtId="37" fontId="18" fillId="0" borderId="0" xfId="0" applyNumberFormat="1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0" xfId="1" applyNumberFormat="1" applyFont="1" applyBorder="1" applyAlignment="1">
      <alignment horizontal="center"/>
    </xf>
    <xf numFmtId="0" fontId="30" fillId="0" borderId="1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29" fillId="7" borderId="15" xfId="0" applyFont="1" applyFill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2" fillId="0" borderId="0" xfId="0" applyFont="1" applyProtection="1">
      <protection locked="0"/>
    </xf>
    <xf numFmtId="0" fontId="30" fillId="0" borderId="17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30" fillId="11" borderId="17" xfId="0" applyFont="1" applyFill="1" applyBorder="1" applyAlignment="1" applyProtection="1">
      <alignment horizontal="center" vertical="center"/>
      <protection locked="0"/>
    </xf>
    <xf numFmtId="0" fontId="30" fillId="11" borderId="17" xfId="0" applyFont="1" applyFill="1" applyBorder="1" applyProtection="1">
      <protection locked="0"/>
    </xf>
    <xf numFmtId="0" fontId="29" fillId="7" borderId="32" xfId="0" applyFont="1" applyFill="1" applyBorder="1" applyAlignment="1">
      <alignment horizontal="center" vertical="center"/>
    </xf>
    <xf numFmtId="0" fontId="29" fillId="7" borderId="33" xfId="0" applyFont="1" applyFill="1" applyBorder="1" applyAlignment="1" applyProtection="1">
      <alignment horizontal="center" vertical="center"/>
      <protection locked="0"/>
    </xf>
    <xf numFmtId="43" fontId="0" fillId="6" borderId="10" xfId="1" applyFont="1" applyFill="1" applyBorder="1" applyProtection="1"/>
    <xf numFmtId="0" fontId="3" fillId="0" borderId="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43" fontId="0" fillId="0" borderId="4" xfId="1" applyFont="1" applyBorder="1" applyAlignment="1" applyProtection="1">
      <alignment horizontal="center"/>
    </xf>
    <xf numFmtId="0" fontId="0" fillId="0" borderId="9" xfId="0" applyBorder="1"/>
    <xf numFmtId="43" fontId="0" fillId="0" borderId="15" xfId="1" applyFont="1" applyBorder="1" applyProtection="1"/>
    <xf numFmtId="43" fontId="3" fillId="6" borderId="28" xfId="1" applyFont="1" applyFill="1" applyBorder="1" applyAlignment="1">
      <alignment horizontal="center" vertical="center"/>
    </xf>
    <xf numFmtId="0" fontId="0" fillId="0" borderId="34" xfId="0" applyBorder="1"/>
    <xf numFmtId="43" fontId="0" fillId="0" borderId="34" xfId="1" applyFont="1" applyBorder="1"/>
    <xf numFmtId="0" fontId="0" fillId="0" borderId="30" xfId="0" applyBorder="1" applyAlignment="1">
      <alignment horizontal="center"/>
    </xf>
    <xf numFmtId="43" fontId="0" fillId="0" borderId="21" xfId="1" applyFont="1" applyBorder="1" applyProtection="1"/>
    <xf numFmtId="43" fontId="0" fillId="0" borderId="30" xfId="1" applyFont="1" applyBorder="1" applyAlignment="1" applyProtection="1"/>
    <xf numFmtId="43" fontId="0" fillId="6" borderId="17" xfId="1" applyFont="1" applyFill="1" applyBorder="1" applyProtection="1"/>
    <xf numFmtId="0" fontId="0" fillId="0" borderId="21" xfId="0" applyBorder="1" applyAlignment="1">
      <alignment horizontal="center"/>
    </xf>
    <xf numFmtId="0" fontId="0" fillId="0" borderId="21" xfId="0" applyBorder="1" applyAlignment="1">
      <alignment vertical="center"/>
    </xf>
    <xf numFmtId="43" fontId="0" fillId="2" borderId="21" xfId="1" applyFont="1" applyFill="1" applyBorder="1" applyProtection="1"/>
    <xf numFmtId="0" fontId="3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43" fontId="25" fillId="0" borderId="17" xfId="1" applyFont="1" applyBorder="1" applyAlignment="1" applyProtection="1">
      <alignment vertical="center"/>
    </xf>
    <xf numFmtId="49" fontId="17" fillId="5" borderId="28" xfId="0" applyNumberFormat="1" applyFont="1" applyFill="1" applyBorder="1" applyAlignment="1">
      <alignment horizontal="center" vertical="center"/>
    </xf>
    <xf numFmtId="43" fontId="3" fillId="5" borderId="28" xfId="1" applyFont="1" applyFill="1" applyBorder="1" applyAlignment="1">
      <alignment horizontal="center" vertical="center"/>
    </xf>
    <xf numFmtId="43" fontId="3" fillId="5" borderId="18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7" fillId="5" borderId="21" xfId="0" applyNumberFormat="1" applyFont="1" applyFill="1" applyBorder="1" applyAlignment="1">
      <alignment vertical="center"/>
    </xf>
    <xf numFmtId="43" fontId="17" fillId="5" borderId="21" xfId="1" applyFont="1" applyFill="1" applyBorder="1" applyAlignment="1">
      <alignment vertical="center"/>
    </xf>
    <xf numFmtId="43" fontId="3" fillId="6" borderId="17" xfId="0" applyNumberFormat="1" applyFont="1" applyFill="1" applyBorder="1" applyAlignment="1">
      <alignment vertical="center"/>
    </xf>
    <xf numFmtId="0" fontId="3" fillId="6" borderId="17" xfId="0" applyFont="1" applyFill="1" applyBorder="1" applyAlignment="1">
      <alignment horizontal="center" vertical="center"/>
    </xf>
    <xf numFmtId="0" fontId="4" fillId="0" borderId="6" xfId="0" applyFont="1" applyBorder="1"/>
    <xf numFmtId="0" fontId="0" fillId="0" borderId="7" xfId="0" applyBorder="1"/>
    <xf numFmtId="0" fontId="3" fillId="0" borderId="7" xfId="0" applyFont="1" applyBorder="1"/>
    <xf numFmtId="0" fontId="1" fillId="0" borderId="7" xfId="1" applyNumberFormat="1" applyFont="1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1" fillId="0" borderId="12" xfId="1" applyNumberFormat="1" applyFont="1" applyBorder="1" applyAlignment="1">
      <alignment horizontal="center"/>
    </xf>
    <xf numFmtId="0" fontId="0" fillId="0" borderId="13" xfId="0" applyBorder="1"/>
    <xf numFmtId="43" fontId="0" fillId="0" borderId="2" xfId="1" applyFont="1" applyBorder="1"/>
    <xf numFmtId="0" fontId="0" fillId="0" borderId="37" xfId="0" applyBorder="1"/>
    <xf numFmtId="0" fontId="3" fillId="0" borderId="11" xfId="0" applyFont="1" applyBorder="1" applyAlignment="1">
      <alignment horizontal="center"/>
    </xf>
    <xf numFmtId="43" fontId="0" fillId="0" borderId="12" xfId="0" applyNumberFormat="1" applyBorder="1"/>
    <xf numFmtId="43" fontId="3" fillId="0" borderId="12" xfId="0" applyNumberFormat="1" applyFont="1" applyBorder="1"/>
    <xf numFmtId="43" fontId="0" fillId="0" borderId="2" xfId="0" applyNumberFormat="1" applyBorder="1"/>
    <xf numFmtId="0" fontId="1" fillId="0" borderId="10" xfId="1" applyNumberFormat="1" applyFont="1" applyBorder="1" applyAlignment="1">
      <alignment horizontal="center"/>
    </xf>
    <xf numFmtId="43" fontId="3" fillId="6" borderId="28" xfId="1" applyFont="1" applyFill="1" applyBorder="1" applyAlignment="1">
      <alignment horizontal="center" vertical="center" wrapText="1"/>
    </xf>
    <xf numFmtId="0" fontId="0" fillId="12" borderId="15" xfId="0" applyFill="1" applyBorder="1"/>
    <xf numFmtId="0" fontId="3" fillId="12" borderId="4" xfId="0" applyFont="1" applyFill="1" applyBorder="1" applyAlignment="1">
      <alignment horizontal="center" vertical="center"/>
    </xf>
    <xf numFmtId="43" fontId="0" fillId="12" borderId="16" xfId="1" applyFont="1" applyFill="1" applyBorder="1" applyProtection="1"/>
    <xf numFmtId="43" fontId="0" fillId="12" borderId="30" xfId="1" applyFont="1" applyFill="1" applyBorder="1" applyProtection="1"/>
    <xf numFmtId="43" fontId="0" fillId="12" borderId="17" xfId="1" applyFont="1" applyFill="1" applyBorder="1" applyProtection="1"/>
    <xf numFmtId="43" fontId="25" fillId="12" borderId="17" xfId="1" applyFont="1" applyFill="1" applyBorder="1" applyAlignment="1" applyProtection="1">
      <alignment vertical="center"/>
    </xf>
    <xf numFmtId="0" fontId="0" fillId="0" borderId="16" xfId="1" applyNumberFormat="1" applyFont="1" applyBorder="1" applyAlignment="1" applyProtection="1">
      <protection locked="0"/>
    </xf>
    <xf numFmtId="0" fontId="0" fillId="0" borderId="16" xfId="1" applyNumberFormat="1" applyFont="1" applyBorder="1" applyProtection="1">
      <protection locked="0"/>
    </xf>
    <xf numFmtId="43" fontId="0" fillId="0" borderId="17" xfId="1" applyFont="1" applyBorder="1" applyProtection="1">
      <protection locked="0"/>
    </xf>
    <xf numFmtId="43" fontId="0" fillId="0" borderId="21" xfId="1" applyFont="1" applyBorder="1" applyProtection="1">
      <protection locked="0"/>
    </xf>
    <xf numFmtId="0" fontId="3" fillId="12" borderId="4" xfId="0" applyFont="1" applyFill="1" applyBorder="1" applyAlignment="1">
      <alignment horizontal="center"/>
    </xf>
    <xf numFmtId="0" fontId="29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 applyProtection="1">
      <alignment horizontal="center" vertical="center"/>
      <protection locked="0"/>
    </xf>
    <xf numFmtId="0" fontId="29" fillId="7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30" fillId="0" borderId="6" xfId="0" applyFont="1" applyBorder="1"/>
    <xf numFmtId="0" fontId="30" fillId="0" borderId="15" xfId="0" applyFont="1" applyBorder="1" applyAlignment="1">
      <alignment horizontal="center" vertical="center"/>
    </xf>
    <xf numFmtId="0" fontId="30" fillId="0" borderId="8" xfId="0" applyFont="1" applyBorder="1"/>
    <xf numFmtId="0" fontId="30" fillId="0" borderId="16" xfId="0" applyFont="1" applyBorder="1" applyAlignment="1">
      <alignment horizontal="center"/>
    </xf>
    <xf numFmtId="0" fontId="30" fillId="0" borderId="9" xfId="0" applyFont="1" applyBorder="1"/>
    <xf numFmtId="0" fontId="30" fillId="0" borderId="16" xfId="0" applyFont="1" applyBorder="1" applyAlignment="1">
      <alignment horizontal="center" vertical="center"/>
    </xf>
    <xf numFmtId="0" fontId="30" fillId="0" borderId="10" xfId="0" applyFont="1" applyBorder="1"/>
    <xf numFmtId="0" fontId="30" fillId="0" borderId="17" xfId="0" applyFont="1" applyBorder="1" applyAlignment="1">
      <alignment horizontal="center"/>
    </xf>
    <xf numFmtId="0" fontId="30" fillId="0" borderId="11" xfId="0" applyFont="1" applyBorder="1"/>
    <xf numFmtId="0" fontId="30" fillId="0" borderId="17" xfId="0" applyFont="1" applyBorder="1" applyAlignment="1">
      <alignment horizontal="center" vertical="center"/>
    </xf>
    <xf numFmtId="0" fontId="30" fillId="0" borderId="13" xfId="0" applyFont="1" applyBorder="1"/>
    <xf numFmtId="0" fontId="29" fillId="7" borderId="31" xfId="0" applyFont="1" applyFill="1" applyBorder="1" applyAlignment="1">
      <alignment horizontal="center" vertical="center"/>
    </xf>
    <xf numFmtId="0" fontId="30" fillId="0" borderId="16" xfId="0" applyFont="1" applyBorder="1"/>
    <xf numFmtId="0" fontId="30" fillId="0" borderId="17" xfId="0" applyFont="1" applyBorder="1"/>
    <xf numFmtId="0" fontId="30" fillId="0" borderId="16" xfId="0" applyFont="1" applyBorder="1" applyAlignment="1">
      <alignment wrapText="1"/>
    </xf>
    <xf numFmtId="0" fontId="30" fillId="0" borderId="16" xfId="0" applyFont="1" applyBorder="1" applyAlignment="1">
      <alignment vertical="center"/>
    </xf>
    <xf numFmtId="0" fontId="29" fillId="7" borderId="33" xfId="0" applyFont="1" applyFill="1" applyBorder="1" applyAlignment="1">
      <alignment horizontal="center" vertical="center"/>
    </xf>
    <xf numFmtId="43" fontId="0" fillId="12" borderId="42" xfId="1" applyFont="1" applyFill="1" applyBorder="1" applyProtection="1"/>
    <xf numFmtId="43" fontId="25" fillId="2" borderId="17" xfId="1" applyFont="1" applyFill="1" applyBorder="1" applyAlignment="1" applyProtection="1">
      <alignment vertical="center"/>
    </xf>
    <xf numFmtId="49" fontId="20" fillId="0" borderId="6" xfId="0" applyNumberFormat="1" applyFont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49" fontId="17" fillId="0" borderId="11" xfId="0" applyNumberFormat="1" applyFont="1" applyBorder="1"/>
    <xf numFmtId="43" fontId="3" fillId="0" borderId="19" xfId="1" applyFont="1" applyBorder="1"/>
    <xf numFmtId="0" fontId="0" fillId="0" borderId="13" xfId="0" applyBorder="1" applyAlignment="1">
      <alignment horizontal="center"/>
    </xf>
    <xf numFmtId="0" fontId="35" fillId="0" borderId="16" xfId="16" applyNumberFormat="1" applyBorder="1" applyAlignment="1">
      <alignment horizontal="center"/>
    </xf>
    <xf numFmtId="49" fontId="18" fillId="0" borderId="11" xfId="0" applyNumberFormat="1" applyFont="1" applyBorder="1"/>
    <xf numFmtId="43" fontId="0" fillId="0" borderId="12" xfId="1" applyFont="1" applyBorder="1"/>
    <xf numFmtId="0" fontId="35" fillId="0" borderId="30" xfId="16" applyNumberFormat="1" applyBorder="1" applyAlignment="1">
      <alignment horizontal="center"/>
    </xf>
    <xf numFmtId="43" fontId="3" fillId="0" borderId="12" xfId="1" applyFont="1" applyBorder="1"/>
    <xf numFmtId="49" fontId="18" fillId="0" borderId="6" xfId="0" applyNumberFormat="1" applyFont="1" applyBorder="1"/>
    <xf numFmtId="43" fontId="0" fillId="0" borderId="7" xfId="1" applyFont="1" applyBorder="1"/>
    <xf numFmtId="0" fontId="35" fillId="0" borderId="13" xfId="16" applyBorder="1" applyAlignment="1">
      <alignment horizontal="center"/>
    </xf>
    <xf numFmtId="0" fontId="35" fillId="0" borderId="15" xfId="16" applyNumberFormat="1" applyBorder="1" applyAlignment="1">
      <alignment horizontal="center"/>
    </xf>
    <xf numFmtId="0" fontId="3" fillId="0" borderId="11" xfId="0" applyFont="1" applyBorder="1"/>
    <xf numFmtId="0" fontId="0" fillId="0" borderId="10" xfId="0" applyBorder="1"/>
    <xf numFmtId="37" fontId="35" fillId="0" borderId="0" xfId="16" applyNumberFormat="1" applyAlignment="1">
      <alignment horizontal="center"/>
    </xf>
    <xf numFmtId="49" fontId="20" fillId="0" borderId="6" xfId="5" applyNumberFormat="1" applyFont="1" applyBorder="1" applyAlignment="1">
      <alignment horizontal="left"/>
    </xf>
    <xf numFmtId="43" fontId="18" fillId="0" borderId="10" xfId="1" applyFont="1" applyBorder="1" applyAlignment="1">
      <alignment horizontal="right"/>
    </xf>
    <xf numFmtId="49" fontId="18" fillId="0" borderId="9" xfId="7" applyNumberFormat="1" applyFont="1" applyBorder="1" applyAlignment="1">
      <alignment horizontal="left"/>
    </xf>
    <xf numFmtId="43" fontId="17" fillId="0" borderId="10" xfId="1" applyFont="1" applyBorder="1" applyAlignment="1">
      <alignment horizontal="right"/>
    </xf>
    <xf numFmtId="37" fontId="35" fillId="10" borderId="0" xfId="16" applyNumberFormat="1" applyFill="1" applyAlignment="1">
      <alignment horizontal="left"/>
    </xf>
    <xf numFmtId="43" fontId="17" fillId="0" borderId="7" xfId="1" applyFont="1" applyBorder="1"/>
    <xf numFmtId="43" fontId="18" fillId="0" borderId="8" xfId="1" applyFont="1" applyBorder="1"/>
    <xf numFmtId="43" fontId="17" fillId="0" borderId="19" xfId="1" applyFont="1" applyBorder="1"/>
    <xf numFmtId="43" fontId="0" fillId="0" borderId="10" xfId="1" applyFont="1" applyBorder="1" applyAlignment="1">
      <alignment horizontal="center"/>
    </xf>
    <xf numFmtId="43" fontId="19" fillId="5" borderId="20" xfId="1" applyFont="1" applyFill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/>
    <xf numFmtId="49" fontId="17" fillId="0" borderId="0" xfId="22" applyNumberFormat="1" applyFont="1" applyAlignment="1">
      <alignment horizontal="left"/>
    </xf>
    <xf numFmtId="49" fontId="17" fillId="0" borderId="0" xfId="22" applyNumberFormat="1" applyFont="1" applyAlignment="1">
      <alignment horizontal="right"/>
    </xf>
    <xf numFmtId="49" fontId="17" fillId="0" borderId="0" xfId="22" applyNumberFormat="1" applyFont="1" applyAlignment="1">
      <alignment horizontal="center"/>
    </xf>
    <xf numFmtId="49" fontId="18" fillId="0" borderId="0" xfId="23" applyNumberFormat="1" applyFont="1" applyAlignment="1">
      <alignment horizontal="left"/>
    </xf>
    <xf numFmtId="2" fontId="18" fillId="0" borderId="0" xfId="23" applyNumberFormat="1" applyFont="1" applyAlignment="1">
      <alignment horizontal="right"/>
    </xf>
    <xf numFmtId="2" fontId="18" fillId="0" borderId="0" xfId="24" applyNumberFormat="1" applyFont="1" applyAlignment="1">
      <alignment horizontal="right"/>
    </xf>
    <xf numFmtId="2" fontId="17" fillId="0" borderId="0" xfId="25" applyNumberFormat="1" applyFont="1" applyAlignment="1">
      <alignment horizontal="right"/>
    </xf>
    <xf numFmtId="165" fontId="18" fillId="0" borderId="0" xfId="26" applyNumberFormat="1" applyFont="1" applyAlignment="1">
      <alignment horizontal="right"/>
    </xf>
    <xf numFmtId="166" fontId="17" fillId="0" borderId="0" xfId="25" applyNumberFormat="1" applyFont="1" applyAlignment="1">
      <alignment horizontal="right"/>
    </xf>
    <xf numFmtId="165" fontId="18" fillId="0" borderId="0" xfId="23" applyNumberFormat="1" applyFont="1" applyAlignment="1">
      <alignment horizontal="right"/>
    </xf>
    <xf numFmtId="165" fontId="17" fillId="0" borderId="0" xfId="25" applyNumberFormat="1" applyFont="1" applyAlignment="1">
      <alignment horizontal="right"/>
    </xf>
    <xf numFmtId="2" fontId="18" fillId="0" borderId="0" xfId="26" applyNumberFormat="1" applyFont="1" applyAlignment="1">
      <alignment horizontal="right"/>
    </xf>
    <xf numFmtId="1" fontId="17" fillId="0" borderId="0" xfId="25" applyNumberFormat="1" applyFont="1" applyAlignment="1">
      <alignment horizontal="right"/>
    </xf>
    <xf numFmtId="165" fontId="18" fillId="0" borderId="2" xfId="23" applyNumberFormat="1" applyFont="1" applyBorder="1" applyAlignment="1">
      <alignment horizontal="right"/>
    </xf>
    <xf numFmtId="2" fontId="18" fillId="0" borderId="2" xfId="24" applyNumberFormat="1" applyFont="1" applyBorder="1" applyAlignment="1">
      <alignment horizontal="right"/>
    </xf>
    <xf numFmtId="2" fontId="17" fillId="0" borderId="2" xfId="25" applyNumberFormat="1" applyFont="1" applyBorder="1" applyAlignment="1">
      <alignment horizontal="right"/>
    </xf>
    <xf numFmtId="165" fontId="17" fillId="0" borderId="2" xfId="25" applyNumberFormat="1" applyFont="1" applyBorder="1" applyAlignment="1">
      <alignment horizontal="right"/>
    </xf>
    <xf numFmtId="165" fontId="18" fillId="0" borderId="2" xfId="26" applyNumberFormat="1" applyFont="1" applyBorder="1" applyAlignment="1">
      <alignment horizontal="right"/>
    </xf>
    <xf numFmtId="166" fontId="17" fillId="0" borderId="2" xfId="25" applyNumberFormat="1" applyFont="1" applyBorder="1" applyAlignment="1">
      <alignment horizontal="right"/>
    </xf>
    <xf numFmtId="49" fontId="17" fillId="0" borderId="0" xfId="25" applyNumberFormat="1" applyFont="1" applyAlignment="1">
      <alignment horizontal="left"/>
    </xf>
    <xf numFmtId="167" fontId="17" fillId="0" borderId="0" xfId="25" applyNumberFormat="1" applyFont="1" applyAlignment="1">
      <alignment horizontal="right"/>
    </xf>
    <xf numFmtId="2" fontId="18" fillId="0" borderId="2" xfId="26" applyNumberFormat="1" applyFont="1" applyBorder="1" applyAlignment="1">
      <alignment horizontal="right"/>
    </xf>
    <xf numFmtId="1" fontId="17" fillId="0" borderId="2" xfId="25" applyNumberFormat="1" applyFont="1" applyBorder="1" applyAlignment="1">
      <alignment horizontal="right"/>
    </xf>
    <xf numFmtId="168" fontId="18" fillId="0" borderId="0" xfId="23" applyNumberFormat="1" applyFont="1" applyAlignment="1">
      <alignment horizontal="right"/>
    </xf>
    <xf numFmtId="168" fontId="18" fillId="0" borderId="0" xfId="24" applyNumberFormat="1" applyFont="1" applyAlignment="1">
      <alignment horizontal="right"/>
    </xf>
    <xf numFmtId="168" fontId="17" fillId="0" borderId="0" xfId="25" applyNumberFormat="1" applyFont="1" applyAlignment="1">
      <alignment horizontal="right"/>
    </xf>
    <xf numFmtId="168" fontId="18" fillId="0" borderId="0" xfId="26" applyNumberFormat="1" applyFont="1" applyAlignment="1">
      <alignment horizontal="right"/>
    </xf>
    <xf numFmtId="167" fontId="17" fillId="0" borderId="2" xfId="25" applyNumberFormat="1" applyFont="1" applyBorder="1" applyAlignment="1">
      <alignment horizontal="right"/>
    </xf>
    <xf numFmtId="2" fontId="18" fillId="0" borderId="2" xfId="23" applyNumberFormat="1" applyFont="1" applyBorder="1" applyAlignment="1">
      <alignment horizontal="right"/>
    </xf>
    <xf numFmtId="168" fontId="18" fillId="0" borderId="2" xfId="23" applyNumberFormat="1" applyFont="1" applyBorder="1" applyAlignment="1">
      <alignment horizontal="right"/>
    </xf>
    <xf numFmtId="168" fontId="17" fillId="0" borderId="2" xfId="25" applyNumberFormat="1" applyFont="1" applyBorder="1" applyAlignment="1">
      <alignment horizontal="right"/>
    </xf>
    <xf numFmtId="168" fontId="18" fillId="0" borderId="2" xfId="26" applyNumberFormat="1" applyFont="1" applyBorder="1" applyAlignment="1">
      <alignment horizontal="right"/>
    </xf>
    <xf numFmtId="165" fontId="18" fillId="0" borderId="0" xfId="24" applyNumberFormat="1" applyFont="1" applyAlignment="1">
      <alignment horizontal="right"/>
    </xf>
    <xf numFmtId="168" fontId="18" fillId="0" borderId="2" xfId="24" applyNumberFormat="1" applyFont="1" applyBorder="1" applyAlignment="1">
      <alignment horizontal="right"/>
    </xf>
    <xf numFmtId="165" fontId="18" fillId="0" borderId="2" xfId="24" applyNumberFormat="1" applyFont="1" applyBorder="1" applyAlignment="1">
      <alignment horizontal="right"/>
    </xf>
    <xf numFmtId="166" fontId="18" fillId="0" borderId="2" xfId="23" applyNumberFormat="1" applyFont="1" applyBorder="1" applyAlignment="1">
      <alignment horizontal="left"/>
    </xf>
    <xf numFmtId="49" fontId="18" fillId="0" borderId="2" xfId="23" applyNumberFormat="1" applyFont="1" applyBorder="1" applyAlignment="1">
      <alignment horizontal="left"/>
    </xf>
    <xf numFmtId="165" fontId="17" fillId="0" borderId="43" xfId="25" applyNumberFormat="1" applyFont="1" applyBorder="1" applyAlignment="1">
      <alignment horizontal="right"/>
    </xf>
    <xf numFmtId="2" fontId="17" fillId="0" borderId="43" xfId="25" applyNumberFormat="1" applyFont="1" applyBorder="1" applyAlignment="1">
      <alignment horizontal="right"/>
    </xf>
    <xf numFmtId="168" fontId="17" fillId="0" borderId="43" xfId="25" applyNumberFormat="1" applyFont="1" applyBorder="1" applyAlignment="1">
      <alignment horizontal="right"/>
    </xf>
    <xf numFmtId="166" fontId="17" fillId="0" borderId="43" xfId="25" applyNumberFormat="1" applyFont="1" applyBorder="1" applyAlignment="1">
      <alignment horizontal="right"/>
    </xf>
    <xf numFmtId="14" fontId="17" fillId="0" borderId="0" xfId="27" applyNumberFormat="1" applyFont="1" applyAlignment="1">
      <alignment horizontal="left"/>
    </xf>
    <xf numFmtId="49" fontId="17" fillId="0" borderId="0" xfId="27" applyNumberFormat="1" applyFont="1" applyAlignment="1">
      <alignment horizontal="left"/>
    </xf>
    <xf numFmtId="43" fontId="35" fillId="0" borderId="10" xfId="16" applyNumberFormat="1" applyBorder="1" applyAlignment="1">
      <alignment horizontal="center"/>
    </xf>
    <xf numFmtId="43" fontId="0" fillId="0" borderId="16" xfId="1" applyFont="1" applyBorder="1" applyAlignment="1">
      <alignment horizontal="right"/>
    </xf>
    <xf numFmtId="43" fontId="0" fillId="0" borderId="10" xfId="1" applyFont="1" applyBorder="1" applyAlignment="1">
      <alignment horizontal="right"/>
    </xf>
    <xf numFmtId="43" fontId="17" fillId="5" borderId="21" xfId="1" applyFont="1" applyFill="1" applyBorder="1" applyAlignment="1">
      <alignment horizontal="right" vertical="center"/>
    </xf>
    <xf numFmtId="43" fontId="33" fillId="0" borderId="16" xfId="1" applyFont="1" applyBorder="1" applyAlignment="1">
      <alignment horizontal="right"/>
    </xf>
    <xf numFmtId="43" fontId="33" fillId="0" borderId="10" xfId="1" applyFont="1" applyBorder="1" applyAlignment="1">
      <alignment horizontal="right"/>
    </xf>
    <xf numFmtId="43" fontId="0" fillId="5" borderId="17" xfId="1" applyFont="1" applyFill="1" applyBorder="1" applyAlignment="1">
      <alignment horizontal="center" vertical="center" wrapText="1"/>
    </xf>
    <xf numFmtId="43" fontId="3" fillId="5" borderId="17" xfId="1" applyFont="1" applyFill="1" applyBorder="1" applyAlignment="1">
      <alignment horizontal="center" vertical="center" wrapText="1"/>
    </xf>
    <xf numFmtId="0" fontId="0" fillId="0" borderId="0" xfId="1" applyNumberFormat="1" applyFont="1" applyBorder="1" applyAlignment="1">
      <alignment horizontal="center"/>
    </xf>
    <xf numFmtId="37" fontId="9" fillId="0" borderId="0" xfId="16" applyNumberFormat="1" applyFont="1" applyAlignment="1">
      <alignment horizontal="center"/>
    </xf>
    <xf numFmtId="43" fontId="33" fillId="0" borderId="10" xfId="1" applyFont="1" applyBorder="1"/>
    <xf numFmtId="168" fontId="17" fillId="13" borderId="0" xfId="25" applyNumberFormat="1" applyFont="1" applyFill="1" applyAlignment="1">
      <alignment horizontal="right"/>
    </xf>
    <xf numFmtId="49" fontId="42" fillId="0" borderId="0" xfId="28" applyNumberFormat="1" applyFont="1" applyAlignment="1">
      <alignment horizontal="center" wrapText="1"/>
    </xf>
    <xf numFmtId="49" fontId="43" fillId="0" borderId="0" xfId="28" applyNumberFormat="1" applyFont="1" applyAlignment="1">
      <alignment horizontal="center" wrapText="1"/>
    </xf>
    <xf numFmtId="49" fontId="43" fillId="14" borderId="0" xfId="28" applyNumberFormat="1" applyFont="1" applyFill="1" applyAlignment="1">
      <alignment horizontal="center" wrapText="1"/>
    </xf>
    <xf numFmtId="49" fontId="43" fillId="15" borderId="0" xfId="28" applyNumberFormat="1" applyFont="1" applyFill="1" applyAlignment="1">
      <alignment horizontal="center" wrapText="1"/>
    </xf>
    <xf numFmtId="49" fontId="42" fillId="9" borderId="0" xfId="28" applyNumberFormat="1" applyFont="1" applyFill="1" applyAlignment="1">
      <alignment horizontal="center" wrapText="1"/>
    </xf>
    <xf numFmtId="49" fontId="42" fillId="16" borderId="0" xfId="28" applyNumberFormat="1" applyFont="1" applyFill="1" applyAlignment="1">
      <alignment horizontal="center" wrapText="1"/>
    </xf>
    <xf numFmtId="0" fontId="43" fillId="0" borderId="0" xfId="28" applyFont="1" applyAlignment="1">
      <alignment horizontal="center" wrapText="1"/>
    </xf>
    <xf numFmtId="49" fontId="42" fillId="0" borderId="44" xfId="28" applyNumberFormat="1" applyFont="1" applyBorder="1" applyAlignment="1">
      <alignment horizontal="center" wrapText="1"/>
    </xf>
    <xf numFmtId="49" fontId="42" fillId="14" borderId="44" xfId="28" applyNumberFormat="1" applyFont="1" applyFill="1" applyBorder="1" applyAlignment="1">
      <alignment horizontal="center" wrapText="1"/>
    </xf>
    <xf numFmtId="49" fontId="42" fillId="15" borderId="44" xfId="28" applyNumberFormat="1" applyFont="1" applyFill="1" applyBorder="1" applyAlignment="1">
      <alignment horizontal="center" wrapText="1"/>
    </xf>
    <xf numFmtId="49" fontId="42" fillId="9" borderId="44" xfId="28" applyNumberFormat="1" applyFont="1" applyFill="1" applyBorder="1" applyAlignment="1">
      <alignment horizontal="center" wrapText="1"/>
    </xf>
    <xf numFmtId="49" fontId="42" fillId="16" borderId="44" xfId="28" applyNumberFormat="1" applyFont="1" applyFill="1" applyBorder="1" applyAlignment="1">
      <alignment horizontal="center" wrapText="1"/>
    </xf>
    <xf numFmtId="49" fontId="42" fillId="0" borderId="0" xfId="28" applyNumberFormat="1" applyFont="1"/>
    <xf numFmtId="169" fontId="44" fillId="0" borderId="0" xfId="28" applyNumberFormat="1" applyFont="1"/>
    <xf numFmtId="49" fontId="44" fillId="0" borderId="0" xfId="28" applyNumberFormat="1" applyFont="1"/>
    <xf numFmtId="169" fontId="44" fillId="14" borderId="0" xfId="28" applyNumberFormat="1" applyFont="1" applyFill="1"/>
    <xf numFmtId="169" fontId="44" fillId="15" borderId="0" xfId="28" applyNumberFormat="1" applyFont="1" applyFill="1"/>
    <xf numFmtId="169" fontId="44" fillId="9" borderId="0" xfId="28" applyNumberFormat="1" applyFont="1" applyFill="1"/>
    <xf numFmtId="169" fontId="44" fillId="16" borderId="0" xfId="28" applyNumberFormat="1" applyFont="1" applyFill="1"/>
    <xf numFmtId="0" fontId="43" fillId="0" borderId="0" xfId="28" applyFont="1"/>
    <xf numFmtId="169" fontId="44" fillId="0" borderId="14" xfId="28" applyNumberFormat="1" applyFont="1" applyBorder="1"/>
    <xf numFmtId="169" fontId="44" fillId="14" borderId="14" xfId="28" applyNumberFormat="1" applyFont="1" applyFill="1" applyBorder="1"/>
    <xf numFmtId="169" fontId="44" fillId="15" borderId="14" xfId="28" applyNumberFormat="1" applyFont="1" applyFill="1" applyBorder="1"/>
    <xf numFmtId="169" fontId="44" fillId="9" borderId="14" xfId="28" applyNumberFormat="1" applyFont="1" applyFill="1" applyBorder="1"/>
    <xf numFmtId="169" fontId="44" fillId="16" borderId="14" xfId="28" applyNumberFormat="1" applyFont="1" applyFill="1" applyBorder="1"/>
    <xf numFmtId="169" fontId="44" fillId="0" borderId="12" xfId="28" applyNumberFormat="1" applyFont="1" applyBorder="1"/>
    <xf numFmtId="169" fontId="44" fillId="14" borderId="12" xfId="28" applyNumberFormat="1" applyFont="1" applyFill="1" applyBorder="1"/>
    <xf numFmtId="169" fontId="44" fillId="15" borderId="12" xfId="28" applyNumberFormat="1" applyFont="1" applyFill="1" applyBorder="1"/>
    <xf numFmtId="169" fontId="44" fillId="9" borderId="12" xfId="28" applyNumberFormat="1" applyFont="1" applyFill="1" applyBorder="1"/>
    <xf numFmtId="169" fontId="44" fillId="16" borderId="12" xfId="28" applyNumberFormat="1" applyFont="1" applyFill="1" applyBorder="1"/>
    <xf numFmtId="39" fontId="43" fillId="0" borderId="0" xfId="28" applyNumberFormat="1" applyFont="1"/>
    <xf numFmtId="0" fontId="42" fillId="0" borderId="0" xfId="28" applyFont="1"/>
    <xf numFmtId="49" fontId="42" fillId="16" borderId="0" xfId="28" applyNumberFormat="1" applyFont="1" applyFill="1"/>
    <xf numFmtId="49" fontId="44" fillId="16" borderId="0" xfId="28" applyNumberFormat="1" applyFont="1" applyFill="1"/>
    <xf numFmtId="0" fontId="43" fillId="16" borderId="0" xfId="28" applyFont="1" applyFill="1"/>
    <xf numFmtId="169" fontId="44" fillId="0" borderId="7" xfId="28" applyNumberFormat="1" applyFont="1" applyBorder="1"/>
    <xf numFmtId="169" fontId="44" fillId="14" borderId="7" xfId="28" applyNumberFormat="1" applyFont="1" applyFill="1" applyBorder="1"/>
    <xf numFmtId="169" fontId="44" fillId="15" borderId="7" xfId="28" applyNumberFormat="1" applyFont="1" applyFill="1" applyBorder="1"/>
    <xf numFmtId="169" fontId="44" fillId="9" borderId="7" xfId="28" applyNumberFormat="1" applyFont="1" applyFill="1" applyBorder="1"/>
    <xf numFmtId="169" fontId="44" fillId="16" borderId="7" xfId="28" applyNumberFormat="1" applyFont="1" applyFill="1" applyBorder="1"/>
    <xf numFmtId="0" fontId="43" fillId="14" borderId="0" xfId="28" applyFont="1" applyFill="1"/>
    <xf numFmtId="0" fontId="43" fillId="15" borderId="0" xfId="28" applyFont="1" applyFill="1"/>
    <xf numFmtId="0" fontId="43" fillId="9" borderId="0" xfId="28" applyFont="1" applyFill="1"/>
    <xf numFmtId="169" fontId="44" fillId="13" borderId="12" xfId="28" applyNumberFormat="1" applyFont="1" applyFill="1" applyBorder="1"/>
    <xf numFmtId="169" fontId="44" fillId="13" borderId="0" xfId="28" applyNumberFormat="1" applyFont="1" applyFill="1"/>
    <xf numFmtId="0" fontId="3" fillId="0" borderId="0" xfId="0" applyFont="1" applyAlignment="1">
      <alignment horizontal="center"/>
    </xf>
    <xf numFmtId="0" fontId="35" fillId="0" borderId="10" xfId="16" applyBorder="1" applyAlignment="1">
      <alignment horizontal="center"/>
    </xf>
    <xf numFmtId="49" fontId="18" fillId="0" borderId="12" xfId="0" applyNumberFormat="1" applyFont="1" applyBorder="1"/>
    <xf numFmtId="0" fontId="35" fillId="0" borderId="10" xfId="16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43" fontId="1" fillId="0" borderId="0" xfId="1" applyFont="1"/>
    <xf numFmtId="43" fontId="1" fillId="0" borderId="0" xfId="0" applyNumberFormat="1" applyFont="1"/>
    <xf numFmtId="49" fontId="17" fillId="0" borderId="11" xfId="0" applyNumberFormat="1" applyFont="1" applyBorder="1" applyAlignment="1">
      <alignment horizontal="center"/>
    </xf>
    <xf numFmtId="43" fontId="0" fillId="0" borderId="1" xfId="1" applyFont="1" applyBorder="1"/>
    <xf numFmtId="0" fontId="35" fillId="0" borderId="0" xfId="16" applyNumberFormat="1" applyBorder="1" applyAlignment="1">
      <alignment horizontal="center"/>
    </xf>
    <xf numFmtId="49" fontId="17" fillId="0" borderId="0" xfId="5" applyNumberFormat="1" applyFont="1" applyAlignment="1">
      <alignment horizontal="left"/>
    </xf>
    <xf numFmtId="43" fontId="17" fillId="0" borderId="0" xfId="1" applyFont="1" applyBorder="1" applyAlignment="1">
      <alignment horizontal="left"/>
    </xf>
    <xf numFmtId="43" fontId="17" fillId="0" borderId="0" xfId="1" applyFont="1" applyBorder="1" applyAlignment="1">
      <alignment horizontal="right"/>
    </xf>
    <xf numFmtId="43" fontId="17" fillId="0" borderId="20" xfId="1" applyFont="1" applyBorder="1"/>
    <xf numFmtId="43" fontId="3" fillId="0" borderId="1" xfId="1" applyFont="1" applyBorder="1"/>
    <xf numFmtId="0" fontId="1" fillId="17" borderId="0" xfId="0" applyFont="1" applyFill="1"/>
    <xf numFmtId="43" fontId="9" fillId="0" borderId="10" xfId="16" applyNumberFormat="1" applyFont="1" applyBorder="1" applyAlignment="1">
      <alignment horizontal="center"/>
    </xf>
    <xf numFmtId="9" fontId="43" fillId="0" borderId="0" xfId="29" applyFont="1"/>
    <xf numFmtId="43" fontId="43" fillId="0" borderId="0" xfId="1" applyFont="1"/>
    <xf numFmtId="43" fontId="3" fillId="0" borderId="7" xfId="1" applyFont="1" applyBorder="1"/>
    <xf numFmtId="10" fontId="43" fillId="0" borderId="0" xfId="29" applyNumberFormat="1" applyFont="1"/>
    <xf numFmtId="165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wrapText="1"/>
    </xf>
    <xf numFmtId="0" fontId="45" fillId="0" borderId="0" xfId="0" applyFont="1"/>
    <xf numFmtId="0" fontId="23" fillId="0" borderId="0" xfId="4" applyFont="1" applyFill="1"/>
    <xf numFmtId="14" fontId="0" fillId="0" borderId="0" xfId="0" applyNumberFormat="1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justify" wrapText="1"/>
    </xf>
    <xf numFmtId="0" fontId="24" fillId="0" borderId="0" xfId="3" applyFont="1" applyFill="1"/>
    <xf numFmtId="0" fontId="47" fillId="0" borderId="0" xfId="0" applyFont="1" applyAlignment="1">
      <alignment wrapText="1"/>
    </xf>
    <xf numFmtId="0" fontId="46" fillId="0" borderId="0" xfId="0" applyFont="1" applyAlignment="1">
      <alignment horizontal="justify" vertical="top" wrapText="1"/>
    </xf>
    <xf numFmtId="0" fontId="45" fillId="0" borderId="0" xfId="0" applyFont="1" applyAlignment="1">
      <alignment horizontal="justify" vertical="top" wrapText="1"/>
    </xf>
    <xf numFmtId="0" fontId="46" fillId="0" borderId="0" xfId="0" applyFont="1" applyAlignment="1">
      <alignment vertical="center" wrapText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9" fillId="7" borderId="5" xfId="0" applyFont="1" applyFill="1" applyBorder="1" applyAlignment="1">
      <alignment horizontal="left" vertical="center"/>
    </xf>
    <xf numFmtId="0" fontId="29" fillId="7" borderId="14" xfId="0" applyFont="1" applyFill="1" applyBorder="1" applyAlignment="1">
      <alignment horizontal="left" vertical="center"/>
    </xf>
    <xf numFmtId="0" fontId="29" fillId="7" borderId="27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29" fillId="7" borderId="7" xfId="0" applyFont="1" applyFill="1" applyBorder="1" applyAlignment="1">
      <alignment horizontal="left" vertical="center"/>
    </xf>
    <xf numFmtId="0" fontId="29" fillId="7" borderId="8" xfId="0" applyFont="1" applyFill="1" applyBorder="1" applyAlignment="1">
      <alignment horizontal="left" vertical="center"/>
    </xf>
    <xf numFmtId="0" fontId="29" fillId="7" borderId="38" xfId="0" applyFont="1" applyFill="1" applyBorder="1" applyAlignment="1">
      <alignment horizontal="left" vertical="center"/>
    </xf>
    <xf numFmtId="0" fontId="29" fillId="7" borderId="39" xfId="0" applyFont="1" applyFill="1" applyBorder="1" applyAlignment="1">
      <alignment horizontal="left" vertical="center"/>
    </xf>
    <xf numFmtId="0" fontId="29" fillId="7" borderId="40" xfId="0" applyFont="1" applyFill="1" applyBorder="1" applyAlignment="1">
      <alignment horizontal="left" vertical="center"/>
    </xf>
    <xf numFmtId="0" fontId="30" fillId="11" borderId="16" xfId="0" applyFont="1" applyFill="1" applyBorder="1" applyAlignment="1">
      <alignment horizontal="center"/>
    </xf>
    <xf numFmtId="0" fontId="25" fillId="0" borderId="11" xfId="0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34" fillId="0" borderId="13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1" xfId="0" applyFont="1" applyBorder="1" applyAlignment="1">
      <alignment horizontal="left"/>
    </xf>
    <xf numFmtId="0" fontId="3" fillId="9" borderId="5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9" borderId="27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3" fillId="9" borderId="5" xfId="0" applyFont="1" applyFill="1" applyBorder="1" applyAlignment="1" applyProtection="1">
      <alignment horizontal="center"/>
      <protection locked="0"/>
    </xf>
    <xf numFmtId="0" fontId="3" fillId="9" borderId="14" xfId="0" applyFont="1" applyFill="1" applyBorder="1" applyAlignment="1" applyProtection="1">
      <alignment horizontal="center"/>
      <protection locked="0"/>
    </xf>
    <xf numFmtId="0" fontId="3" fillId="9" borderId="27" xfId="0" applyFont="1" applyFill="1" applyBorder="1" applyAlignment="1" applyProtection="1">
      <alignment horizontal="center"/>
      <protection locked="0"/>
    </xf>
    <xf numFmtId="0" fontId="25" fillId="0" borderId="16" xfId="0" applyFont="1" applyBorder="1" applyAlignment="1">
      <alignment horizontal="center" vertical="center" textRotation="90"/>
    </xf>
    <xf numFmtId="0" fontId="3" fillId="9" borderId="4" xfId="0" applyFont="1" applyFill="1" applyBorder="1" applyAlignment="1">
      <alignment horizontal="center"/>
    </xf>
    <xf numFmtId="0" fontId="25" fillId="0" borderId="15" xfId="0" applyFont="1" applyBorder="1" applyAlignment="1">
      <alignment horizontal="center" vertical="center" textRotation="90"/>
    </xf>
    <xf numFmtId="0" fontId="25" fillId="0" borderId="17" xfId="0" applyFont="1" applyBorder="1" applyAlignment="1">
      <alignment horizontal="center" vertical="center" textRotation="90"/>
    </xf>
    <xf numFmtId="43" fontId="3" fillId="9" borderId="5" xfId="1" applyFont="1" applyFill="1" applyBorder="1" applyAlignment="1" applyProtection="1">
      <alignment horizontal="center"/>
      <protection locked="0"/>
    </xf>
    <xf numFmtId="43" fontId="3" fillId="9" borderId="27" xfId="1" applyFont="1" applyFill="1" applyBorder="1" applyAlignment="1" applyProtection="1">
      <alignment horizontal="center"/>
      <protection locked="0"/>
    </xf>
    <xf numFmtId="43" fontId="3" fillId="9" borderId="4" xfId="1" applyFont="1" applyFill="1" applyBorder="1" applyAlignment="1" applyProtection="1">
      <alignment horizontal="center"/>
      <protection locked="0"/>
    </xf>
    <xf numFmtId="49" fontId="17" fillId="0" borderId="0" xfId="27" applyNumberFormat="1" applyFont="1" applyAlignment="1">
      <alignment horizontal="center"/>
    </xf>
    <xf numFmtId="43" fontId="10" fillId="5" borderId="4" xfId="1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20" fillId="5" borderId="23" xfId="0" applyNumberFormat="1" applyFont="1" applyFill="1" applyBorder="1" applyAlignment="1">
      <alignment horizontal="center"/>
    </xf>
    <xf numFmtId="49" fontId="20" fillId="5" borderId="24" xfId="0" applyNumberFormat="1" applyFont="1" applyFill="1" applyBorder="1" applyAlignment="1">
      <alignment horizontal="center"/>
    </xf>
    <xf numFmtId="49" fontId="20" fillId="5" borderId="18" xfId="0" applyNumberFormat="1" applyFont="1" applyFill="1" applyBorder="1" applyAlignment="1">
      <alignment horizontal="center"/>
    </xf>
    <xf numFmtId="49" fontId="20" fillId="5" borderId="6" xfId="0" applyNumberFormat="1" applyFont="1" applyFill="1" applyBorder="1" applyAlignment="1">
      <alignment horizontal="center"/>
    </xf>
    <xf numFmtId="49" fontId="20" fillId="5" borderId="7" xfId="0" applyNumberFormat="1" applyFont="1" applyFill="1" applyBorder="1" applyAlignment="1">
      <alignment horizontal="center"/>
    </xf>
    <xf numFmtId="49" fontId="20" fillId="5" borderId="8" xfId="0" applyNumberFormat="1" applyFont="1" applyFill="1" applyBorder="1" applyAlignment="1">
      <alignment horizontal="center"/>
    </xf>
  </cellXfs>
  <cellStyles count="30">
    <cellStyle name="Bad" xfId="4" builtinId="27"/>
    <cellStyle name="Comma" xfId="1" builtinId="3"/>
    <cellStyle name="Comma 2" xfId="15" xr:uid="{00000000-0005-0000-0000-000002000000}"/>
    <cellStyle name="Good" xfId="3" builtinId="26"/>
    <cellStyle name="Hyperlink" xfId="16" builtinId="8"/>
    <cellStyle name="Normal" xfId="0" builtinId="0"/>
    <cellStyle name="Normal 2" xfId="2" xr:uid="{00000000-0005-0000-0000-000006000000}"/>
    <cellStyle name="Normal 3" xfId="28" xr:uid="{00000000-0005-0000-0000-000007000000}"/>
    <cellStyle name="Normal 5 3" xfId="14" xr:uid="{00000000-0005-0000-0000-000008000000}"/>
    <cellStyle name="Percent" xfId="29" builtinId="5"/>
    <cellStyle name="rf1" xfId="8" xr:uid="{00000000-0005-0000-0000-00000A000000}"/>
    <cellStyle name="rf1 2" xfId="17" xr:uid="{00000000-0005-0000-0000-00000B000000}"/>
    <cellStyle name="rf13" xfId="21" xr:uid="{00000000-0005-0000-0000-00000C000000}"/>
    <cellStyle name="rf17" xfId="9" xr:uid="{00000000-0005-0000-0000-00000D000000}"/>
    <cellStyle name="rf17 2" xfId="19" xr:uid="{00000000-0005-0000-0000-00000E000000}"/>
    <cellStyle name="rf2" xfId="10" xr:uid="{00000000-0005-0000-0000-00000F000000}"/>
    <cellStyle name="rf2 2" xfId="18" xr:uid="{00000000-0005-0000-0000-000010000000}"/>
    <cellStyle name="rf20" xfId="12" xr:uid="{00000000-0005-0000-0000-000011000000}"/>
    <cellStyle name="rf20 2" xfId="26" xr:uid="{00000000-0005-0000-0000-000012000000}"/>
    <cellStyle name="rf3" xfId="11" xr:uid="{00000000-0005-0000-0000-000013000000}"/>
    <cellStyle name="rf3 2" xfId="22" xr:uid="{00000000-0005-0000-0000-000014000000}"/>
    <cellStyle name="rf4" xfId="13" xr:uid="{00000000-0005-0000-0000-000015000000}"/>
    <cellStyle name="rf4 2" xfId="27" xr:uid="{00000000-0005-0000-0000-000016000000}"/>
    <cellStyle name="rf5" xfId="5" xr:uid="{00000000-0005-0000-0000-000017000000}"/>
    <cellStyle name="rf5 2" xfId="23" xr:uid="{00000000-0005-0000-0000-000018000000}"/>
    <cellStyle name="rf7" xfId="6" xr:uid="{00000000-0005-0000-0000-000019000000}"/>
    <cellStyle name="rf7 2" xfId="24" xr:uid="{00000000-0005-0000-0000-00001A000000}"/>
    <cellStyle name="rf8" xfId="7" xr:uid="{00000000-0005-0000-0000-00001B000000}"/>
    <cellStyle name="rf8 2" xfId="25" xr:uid="{00000000-0005-0000-0000-00001C000000}"/>
    <cellStyle name="rf9" xfId="20" xr:uid="{00000000-0005-0000-0000-00001D000000}"/>
  </cellStyles>
  <dxfs count="5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914400</xdr:colOff>
          <xdr:row>2</xdr:row>
          <xdr:rowOff>228600</xdr:rowOff>
        </xdr:to>
        <xdr:sp macro="" textlink="">
          <xdr:nvSpPr>
            <xdr:cNvPr id="26625" name="FILTER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8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914400</xdr:colOff>
          <xdr:row>2</xdr:row>
          <xdr:rowOff>228600</xdr:rowOff>
        </xdr:to>
        <xdr:sp macro="" textlink="">
          <xdr:nvSpPr>
            <xdr:cNvPr id="26626" name="HEADER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8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247650</xdr:colOff>
      <xdr:row>44</xdr:row>
      <xdr:rowOff>76200</xdr:rowOff>
    </xdr:from>
    <xdr:to>
      <xdr:col>13</xdr:col>
      <xdr:colOff>368776</xdr:colOff>
      <xdr:row>52</xdr:row>
      <xdr:rowOff>49341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0525" y="8639175"/>
          <a:ext cx="6352381" cy="1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1</xdr:row>
          <xdr:rowOff>30480</xdr:rowOff>
        </xdr:to>
        <xdr:sp macro="" textlink="">
          <xdr:nvSpPr>
            <xdr:cNvPr id="27649" name="FILTER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C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1</xdr:row>
          <xdr:rowOff>30480</xdr:rowOff>
        </xdr:to>
        <xdr:sp macro="" textlink="">
          <xdr:nvSpPr>
            <xdr:cNvPr id="27650" name="HEADER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C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8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drawing" Target="../drawings/drawing2.xml"/><Relationship Id="rId7" Type="http://schemas.openxmlformats.org/officeDocument/2006/relationships/control" Target="../activeX/activeX4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Relationship Id="rId6" Type="http://schemas.openxmlformats.org/officeDocument/2006/relationships/image" Target="../media/image4.emf"/><Relationship Id="rId5" Type="http://schemas.openxmlformats.org/officeDocument/2006/relationships/control" Target="../activeX/activeX3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G43"/>
  <sheetViews>
    <sheetView workbookViewId="0"/>
  </sheetViews>
  <sheetFormatPr defaultColWidth="9.109375" defaultRowHeight="14.4" x14ac:dyDescent="0.3"/>
  <cols>
    <col min="1" max="1" width="3.44140625" style="49" customWidth="1"/>
    <col min="2" max="2" width="9.109375" style="49"/>
    <col min="3" max="3" width="57.33203125" style="49" bestFit="1" customWidth="1"/>
    <col min="4" max="4" width="17.44140625" style="49" bestFit="1" customWidth="1"/>
    <col min="5" max="5" width="73.33203125" style="49" bestFit="1" customWidth="1"/>
    <col min="6" max="6" width="17.44140625" style="49" bestFit="1" customWidth="1"/>
    <col min="7" max="16384" width="9.109375" style="49"/>
  </cols>
  <sheetData>
    <row r="2" spans="2:7" ht="15.6" x14ac:dyDescent="0.3">
      <c r="B2" s="401" t="s">
        <v>0</v>
      </c>
      <c r="C2" s="401"/>
      <c r="D2" s="401"/>
      <c r="E2" s="401"/>
      <c r="F2" s="401"/>
    </row>
    <row r="3" spans="2:7" ht="15" thickBot="1" x14ac:dyDescent="0.35">
      <c r="C3" s="140"/>
    </row>
    <row r="4" spans="2:7" ht="15.75" customHeight="1" thickBot="1" x14ac:dyDescent="0.35">
      <c r="B4" s="402" t="s">
        <v>1</v>
      </c>
      <c r="C4" s="403"/>
      <c r="D4" s="403"/>
      <c r="E4" s="403"/>
      <c r="F4" s="404"/>
    </row>
    <row r="5" spans="2:7" ht="15.75" customHeight="1" thickBot="1" x14ac:dyDescent="0.35">
      <c r="B5" s="208" t="s">
        <v>2</v>
      </c>
      <c r="C5" s="208" t="s">
        <v>3</v>
      </c>
      <c r="D5" s="208" t="s">
        <v>4</v>
      </c>
      <c r="E5" s="208" t="s">
        <v>5</v>
      </c>
      <c r="F5" s="141" t="s">
        <v>6</v>
      </c>
    </row>
    <row r="6" spans="2:7" x14ac:dyDescent="0.3">
      <c r="B6" s="209">
        <v>1</v>
      </c>
      <c r="C6" s="210" t="s">
        <v>7</v>
      </c>
      <c r="D6" s="211" t="str">
        <f>IF('Part VIII - Revenue'!D8&gt;0,"Yes","No")</f>
        <v>Yes</v>
      </c>
      <c r="E6" s="212" t="s">
        <v>8</v>
      </c>
      <c r="F6" s="142"/>
      <c r="G6" s="143"/>
    </row>
    <row r="7" spans="2:7" x14ac:dyDescent="0.3">
      <c r="B7" s="213">
        <v>2</v>
      </c>
      <c r="C7" s="214" t="s">
        <v>9</v>
      </c>
      <c r="D7" s="215" t="str">
        <f>IF('Part VIII - Revenue'!D9&gt;0,"Yes","No")</f>
        <v>Yes</v>
      </c>
      <c r="E7" s="216" t="s">
        <v>10</v>
      </c>
      <c r="F7" s="139"/>
      <c r="G7" s="143"/>
    </row>
    <row r="8" spans="2:7" x14ac:dyDescent="0.3">
      <c r="B8" s="213">
        <v>3</v>
      </c>
      <c r="C8" s="214" t="s">
        <v>11</v>
      </c>
      <c r="D8" s="215" t="str">
        <f>IF('Part VIII - Revenue'!D10&gt;25000,"Yes","No")</f>
        <v>No</v>
      </c>
      <c r="E8" s="216" t="s">
        <v>12</v>
      </c>
      <c r="F8" s="139"/>
    </row>
    <row r="9" spans="2:7" x14ac:dyDescent="0.3">
      <c r="B9" s="213">
        <v>4</v>
      </c>
      <c r="C9" s="214" t="s">
        <v>13</v>
      </c>
      <c r="D9" s="215" t="str">
        <f>IF(ISNUMBER(MATCH("Adj-DS",SOR!F:F, 0)), "Yes", "No")</f>
        <v>Yes</v>
      </c>
      <c r="E9" s="216" t="s">
        <v>14</v>
      </c>
      <c r="F9" s="139"/>
    </row>
    <row r="10" spans="2:7" x14ac:dyDescent="0.3">
      <c r="B10" s="213">
        <v>5</v>
      </c>
      <c r="C10" s="214" t="s">
        <v>15</v>
      </c>
      <c r="D10" s="215" t="str">
        <f>IF(ISNUMBER(MATCH("Adj-UG",SOR!F:F, 0)), "Yes", "No")</f>
        <v>Yes</v>
      </c>
      <c r="E10" s="216" t="s">
        <v>14</v>
      </c>
      <c r="F10" s="139"/>
    </row>
    <row r="11" spans="2:7" x14ac:dyDescent="0.3">
      <c r="B11" s="213">
        <v>6</v>
      </c>
      <c r="C11" s="214" t="s">
        <v>16</v>
      </c>
      <c r="D11" s="215" t="str">
        <f>IF('Part VIII - Revenue'!E19&gt;0,"Yes","No")</f>
        <v>Yes</v>
      </c>
      <c r="E11" s="216" t="s">
        <v>17</v>
      </c>
      <c r="F11" s="139"/>
    </row>
    <row r="12" spans="2:7" x14ac:dyDescent="0.3">
      <c r="B12" s="213">
        <v>7</v>
      </c>
      <c r="C12" s="214" t="s">
        <v>18</v>
      </c>
      <c r="D12" s="215" t="str">
        <f>IF('Part VIII - Revenue'!E20&gt;0,"Yes","No")</f>
        <v>Yes</v>
      </c>
      <c r="E12" s="216" t="s">
        <v>19</v>
      </c>
      <c r="F12" s="139"/>
    </row>
    <row r="13" spans="2:7" x14ac:dyDescent="0.3">
      <c r="B13" s="213">
        <v>8</v>
      </c>
      <c r="C13" s="214" t="s">
        <v>20</v>
      </c>
      <c r="D13" s="215" t="str">
        <f>IF('Part IX - Expenses'!C19&gt;0,"Yes","No")</f>
        <v>Yes</v>
      </c>
      <c r="E13" s="216" t="s">
        <v>21</v>
      </c>
      <c r="F13" s="139"/>
    </row>
    <row r="14" spans="2:7" ht="15" thickBot="1" x14ac:dyDescent="0.35">
      <c r="B14" s="217">
        <v>9</v>
      </c>
      <c r="C14" s="218" t="s">
        <v>22</v>
      </c>
      <c r="D14" s="219" t="str">
        <f>+IF(('Part VIII - Revenue'!D6+'Part VIII - Revenue'!D33)&gt;15000,"Yes","No")</f>
        <v>Yes</v>
      </c>
      <c r="E14" s="220" t="s">
        <v>23</v>
      </c>
      <c r="F14" s="144"/>
    </row>
    <row r="15" spans="2:7" x14ac:dyDescent="0.3">
      <c r="B15" s="50"/>
    </row>
    <row r="16" spans="2:7" ht="15" thickBot="1" x14ac:dyDescent="0.35"/>
    <row r="17" spans="2:6" x14ac:dyDescent="0.3">
      <c r="B17" s="405" t="s">
        <v>24</v>
      </c>
      <c r="C17" s="406"/>
      <c r="D17" s="406"/>
      <c r="E17" s="406"/>
      <c r="F17" s="407"/>
    </row>
    <row r="18" spans="2:6" ht="15.75" customHeight="1" x14ac:dyDescent="0.3">
      <c r="B18" s="221" t="s">
        <v>2</v>
      </c>
      <c r="C18" s="149" t="s">
        <v>3</v>
      </c>
      <c r="D18" s="149" t="s">
        <v>4</v>
      </c>
      <c r="E18" s="149" t="s">
        <v>5</v>
      </c>
      <c r="F18" s="150" t="s">
        <v>6</v>
      </c>
    </row>
    <row r="19" spans="2:6" x14ac:dyDescent="0.3">
      <c r="B19" s="213">
        <v>1</v>
      </c>
      <c r="C19" s="222" t="s">
        <v>25</v>
      </c>
      <c r="D19" s="215" t="str">
        <f>IF(OR('Part IX - Expenses'!C4&gt;5000, 'Part IX - Expenses'!C5&gt;5000), "Yes", "No")</f>
        <v>Yes</v>
      </c>
      <c r="E19" s="222" t="s">
        <v>26</v>
      </c>
      <c r="F19" s="139"/>
    </row>
    <row r="20" spans="2:6" x14ac:dyDescent="0.3">
      <c r="B20" s="213">
        <v>2</v>
      </c>
      <c r="C20" s="222" t="s">
        <v>27</v>
      </c>
      <c r="D20" s="215" t="str">
        <f>+IF('Part IX - Expenses'!C18&gt;15000,"Yes","No")</f>
        <v>No</v>
      </c>
      <c r="E20" s="222" t="s">
        <v>23</v>
      </c>
      <c r="F20" s="139"/>
    </row>
    <row r="21" spans="2:6" x14ac:dyDescent="0.3">
      <c r="B21" s="213">
        <v>3</v>
      </c>
      <c r="C21" s="222" t="s">
        <v>28</v>
      </c>
      <c r="D21" s="215" t="str">
        <f>+IF('Part IX - Expenses'!C31&gt;0,"Yes","No")</f>
        <v>Yes</v>
      </c>
      <c r="E21" s="222" t="s">
        <v>29</v>
      </c>
      <c r="F21" s="139"/>
    </row>
    <row r="22" spans="2:6" ht="15" thickBot="1" x14ac:dyDescent="0.35">
      <c r="B22" s="217">
        <v>4</v>
      </c>
      <c r="C22" s="223" t="s">
        <v>30</v>
      </c>
      <c r="D22" s="144"/>
      <c r="E22" s="148"/>
      <c r="F22" s="147"/>
    </row>
    <row r="23" spans="2:6" customFormat="1" x14ac:dyDescent="0.3"/>
    <row r="24" spans="2:6" ht="15" thickBot="1" x14ac:dyDescent="0.35">
      <c r="B24" s="145"/>
      <c r="C24" s="146"/>
      <c r="D24" s="146"/>
      <c r="E24" s="146"/>
      <c r="F24" s="146"/>
    </row>
    <row r="25" spans="2:6" ht="15" thickBot="1" x14ac:dyDescent="0.35">
      <c r="B25" s="405" t="s">
        <v>31</v>
      </c>
      <c r="C25" s="406"/>
      <c r="D25" s="406"/>
      <c r="E25" s="406"/>
      <c r="F25" s="407"/>
    </row>
    <row r="26" spans="2:6" ht="15" thickBot="1" x14ac:dyDescent="0.35">
      <c r="B26" s="206" t="s">
        <v>2</v>
      </c>
      <c r="C26" s="206" t="s">
        <v>3</v>
      </c>
      <c r="D26" s="206" t="s">
        <v>4</v>
      </c>
      <c r="E26" s="206" t="s">
        <v>5</v>
      </c>
      <c r="F26" s="207" t="s">
        <v>6</v>
      </c>
    </row>
    <row r="27" spans="2:6" x14ac:dyDescent="0.3">
      <c r="B27" s="213">
        <v>1</v>
      </c>
      <c r="C27" s="222" t="s">
        <v>32</v>
      </c>
      <c r="D27" s="215" t="str">
        <f>+IF(('Part X - Balance Sheet'!E8+'Part X - Balance Sheet'!E27)&gt;0,"Yes","No")</f>
        <v>No</v>
      </c>
      <c r="E27" s="222" t="s">
        <v>33</v>
      </c>
      <c r="F27" s="139"/>
    </row>
    <row r="28" spans="2:6" x14ac:dyDescent="0.3">
      <c r="B28" s="213">
        <v>2</v>
      </c>
      <c r="C28" s="222" t="s">
        <v>34</v>
      </c>
      <c r="D28" s="139" t="s">
        <v>35</v>
      </c>
      <c r="E28" s="222" t="s">
        <v>33</v>
      </c>
      <c r="F28" s="139"/>
    </row>
    <row r="29" spans="2:6" x14ac:dyDescent="0.3">
      <c r="B29" s="213">
        <v>3</v>
      </c>
      <c r="C29" s="222" t="s">
        <v>36</v>
      </c>
      <c r="D29" s="215" t="str">
        <f>+IF('Part X - Balance Sheet'!E26&gt;0,"Yes","No")</f>
        <v>No</v>
      </c>
      <c r="E29" s="222" t="s">
        <v>37</v>
      </c>
      <c r="F29" s="139"/>
    </row>
    <row r="30" spans="2:6" x14ac:dyDescent="0.3">
      <c r="B30" s="213">
        <v>4</v>
      </c>
      <c r="C30" s="222" t="s">
        <v>38</v>
      </c>
      <c r="D30" s="215" t="str">
        <f>IF('Part X - Balance Sheet'!E15&gt;0,"Yes","No")</f>
        <v>Yes</v>
      </c>
      <c r="E30" s="222" t="s">
        <v>39</v>
      </c>
      <c r="F30" s="139"/>
    </row>
    <row r="31" spans="2:6" x14ac:dyDescent="0.3">
      <c r="B31" s="213">
        <v>5</v>
      </c>
      <c r="C31" s="222" t="s">
        <v>40</v>
      </c>
      <c r="D31" s="139" t="s">
        <v>35</v>
      </c>
      <c r="E31" s="222" t="s">
        <v>41</v>
      </c>
      <c r="F31" s="139"/>
    </row>
    <row r="32" spans="2:6" ht="15" thickBot="1" x14ac:dyDescent="0.35">
      <c r="B32" s="217">
        <v>6</v>
      </c>
      <c r="C32" s="223" t="s">
        <v>42</v>
      </c>
      <c r="D32" s="144" t="s">
        <v>35</v>
      </c>
      <c r="E32" s="223" t="s">
        <v>43</v>
      </c>
      <c r="F32" s="144"/>
    </row>
    <row r="33" spans="2:6" x14ac:dyDescent="0.3">
      <c r="B33" s="145"/>
      <c r="C33" s="146"/>
      <c r="D33" s="146"/>
      <c r="E33" s="146"/>
      <c r="F33" s="146"/>
    </row>
    <row r="34" spans="2:6" ht="15" thickBot="1" x14ac:dyDescent="0.35">
      <c r="B34" s="146"/>
      <c r="C34" s="146"/>
      <c r="D34" s="146"/>
      <c r="E34" s="146"/>
      <c r="F34" s="146"/>
    </row>
    <row r="35" spans="2:6" ht="15" thickBot="1" x14ac:dyDescent="0.35">
      <c r="B35" s="408" t="s">
        <v>44</v>
      </c>
      <c r="C35" s="409"/>
      <c r="D35" s="409"/>
      <c r="E35" s="409"/>
      <c r="F35" s="410"/>
    </row>
    <row r="36" spans="2:6" ht="15.75" customHeight="1" thickBot="1" x14ac:dyDescent="0.35">
      <c r="B36" s="221" t="s">
        <v>2</v>
      </c>
      <c r="C36" s="149" t="s">
        <v>3</v>
      </c>
      <c r="D36" s="149" t="s">
        <v>4</v>
      </c>
      <c r="E36" s="149" t="s">
        <v>5</v>
      </c>
      <c r="F36" s="226" t="s">
        <v>6</v>
      </c>
    </row>
    <row r="37" spans="2:6" x14ac:dyDescent="0.3">
      <c r="B37" s="213">
        <v>1</v>
      </c>
      <c r="C37" s="222" t="s">
        <v>45</v>
      </c>
      <c r="D37" s="139" t="s">
        <v>35</v>
      </c>
      <c r="E37" s="411"/>
      <c r="F37" s="411"/>
    </row>
    <row r="38" spans="2:6" x14ac:dyDescent="0.3">
      <c r="B38" s="213">
        <v>2</v>
      </c>
      <c r="C38" s="222" t="s">
        <v>46</v>
      </c>
      <c r="D38" s="139" t="s">
        <v>47</v>
      </c>
      <c r="E38" s="411"/>
      <c r="F38" s="411"/>
    </row>
    <row r="39" spans="2:6" x14ac:dyDescent="0.3">
      <c r="B39" s="213">
        <v>3</v>
      </c>
      <c r="C39" s="222" t="s">
        <v>48</v>
      </c>
      <c r="D39" s="139" t="s">
        <v>35</v>
      </c>
      <c r="E39" s="411"/>
      <c r="F39" s="411"/>
    </row>
    <row r="40" spans="2:6" x14ac:dyDescent="0.3">
      <c r="B40" s="215">
        <v>4</v>
      </c>
      <c r="C40" s="222" t="s">
        <v>49</v>
      </c>
      <c r="D40" s="139" t="s">
        <v>35</v>
      </c>
      <c r="E40" s="222" t="s">
        <v>50</v>
      </c>
      <c r="F40" s="139"/>
    </row>
    <row r="41" spans="2:6" ht="28.8" x14ac:dyDescent="0.3">
      <c r="B41" s="215">
        <v>5</v>
      </c>
      <c r="C41" s="224" t="s">
        <v>51</v>
      </c>
      <c r="D41" s="139" t="s">
        <v>35</v>
      </c>
      <c r="E41" s="225" t="s">
        <v>52</v>
      </c>
      <c r="F41" s="139"/>
    </row>
    <row r="42" spans="2:6" x14ac:dyDescent="0.3">
      <c r="B42" s="215">
        <v>6</v>
      </c>
      <c r="C42" s="224" t="s">
        <v>53</v>
      </c>
      <c r="D42" s="139" t="s">
        <v>35</v>
      </c>
      <c r="E42" s="222" t="s">
        <v>54</v>
      </c>
      <c r="F42" s="139"/>
    </row>
    <row r="43" spans="2:6" ht="15" thickBot="1" x14ac:dyDescent="0.35">
      <c r="B43" s="219">
        <v>7</v>
      </c>
      <c r="C43" s="223" t="s">
        <v>55</v>
      </c>
      <c r="D43" s="144" t="s">
        <v>35</v>
      </c>
      <c r="E43" s="223" t="s">
        <v>56</v>
      </c>
      <c r="F43" s="144"/>
    </row>
  </sheetData>
  <sheetProtection algorithmName="SHA-512" hashValue="oJNiADqrxglsRk5WUKUl/4FmBBLS3JqpGK8OmWQ6TvejxWDZEAScsI7B7hOF/eiKwRh9Xq/wDA1CrPSnkK+0sQ==" saltValue="+taWDkc3xTbHjCVueuNtQg==" spinCount="100000" sheet="1" objects="1"/>
  <protectedRanges>
    <protectedRange algorithmName="SHA-512" hashValue="hmq3mx1mSB+V93VH8wmvz3d2C1jk0a9h+wspulti/3M4i5l+h0IdXOGBFRKRXU59z0hDB3BWi17UHUbzcuEkkA==" saltValue="eDBbQNuHdEqWbkTCv7B18Q==" spinCount="100000" sqref="D6:D14 D37:D43 D19:D21 D27:D32" name="Range1"/>
    <protectedRange sqref="F40:F43" name="Range2"/>
    <protectedRange sqref="F19:F21 F27:F32" name="Range3"/>
  </protectedRanges>
  <mergeCells count="7">
    <mergeCell ref="B2:F2"/>
    <mergeCell ref="B4:F4"/>
    <mergeCell ref="B17:F17"/>
    <mergeCell ref="B35:F35"/>
    <mergeCell ref="E37:E39"/>
    <mergeCell ref="F37:F39"/>
    <mergeCell ref="B25:F25"/>
  </mergeCells>
  <conditionalFormatting sqref="B20:E21 F20:F22">
    <cfRule type="expression" dxfId="4" priority="9">
      <formula>$D20="No"</formula>
    </cfRule>
  </conditionalFormatting>
  <conditionalFormatting sqref="B6:F14">
    <cfRule type="expression" dxfId="3" priority="4">
      <formula>$D6="No"</formula>
    </cfRule>
  </conditionalFormatting>
  <conditionalFormatting sqref="B19:F19">
    <cfRule type="expression" dxfId="2" priority="10">
      <formula>$D19="No"</formula>
    </cfRule>
  </conditionalFormatting>
  <conditionalFormatting sqref="B27:F32">
    <cfRule type="expression" dxfId="1" priority="1">
      <formula>$D27="No"</formula>
    </cfRule>
  </conditionalFormatting>
  <conditionalFormatting sqref="B40:F43">
    <cfRule type="expression" dxfId="0" priority="5">
      <formula>$D40="No"</formula>
    </cfRule>
  </conditionalFormatting>
  <dataValidations count="1">
    <dataValidation type="list" showInputMessage="1" showErrorMessage="1" sqref="D6:D15 F6:F14 D37:D43 F40:F43 D24 F19:F22 D19:D22 D27:D33 F27:F32" xr:uid="{00000000-0002-0000-0000-000000000000}">
      <formula1>"Yes,No"</formula1>
    </dataValidation>
  </dataValidations>
  <pageMargins left="0.7" right="0.7" top="0.75" bottom="0.75" header="0.3" footer="0.3"/>
  <pageSetup orientation="portrait" verticalDpi="0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92D050"/>
  </sheetPr>
  <dimension ref="A1:K66"/>
  <sheetViews>
    <sheetView workbookViewId="0">
      <selection activeCell="B15" sqref="B15:C15"/>
    </sheetView>
  </sheetViews>
  <sheetFormatPr defaultColWidth="9.109375" defaultRowHeight="14.4" x14ac:dyDescent="0.3"/>
  <cols>
    <col min="1" max="1" width="7.88671875" style="50" customWidth="1"/>
    <col min="2" max="2" width="62" style="49" bestFit="1" customWidth="1"/>
    <col min="3" max="3" width="16.33203125" style="49" customWidth="1"/>
    <col min="4" max="4" width="16.6640625" style="53" customWidth="1"/>
    <col min="5" max="9" width="16.6640625" style="49" customWidth="1"/>
    <col min="10" max="16384" width="9.109375" style="49"/>
  </cols>
  <sheetData>
    <row r="1" spans="1:11" ht="15" thickBot="1" x14ac:dyDescent="0.35">
      <c r="A1" s="8"/>
      <c r="B1"/>
      <c r="C1"/>
      <c r="D1" s="76"/>
      <c r="E1"/>
      <c r="F1"/>
      <c r="G1"/>
      <c r="H1"/>
    </row>
    <row r="2" spans="1:11" ht="15" thickBot="1" x14ac:dyDescent="0.35">
      <c r="A2" s="426" t="s">
        <v>57</v>
      </c>
      <c r="B2" s="427"/>
      <c r="C2" s="427"/>
      <c r="D2" s="427"/>
      <c r="E2" s="427"/>
      <c r="F2" s="427"/>
      <c r="G2" s="427"/>
      <c r="H2" s="428"/>
      <c r="I2" s="195"/>
    </row>
    <row r="3" spans="1:11" s="56" customFormat="1" ht="43.8" thickBot="1" x14ac:dyDescent="0.35">
      <c r="A3" s="65" t="s">
        <v>58</v>
      </c>
      <c r="B3" s="429" t="s">
        <v>59</v>
      </c>
      <c r="C3" s="430"/>
      <c r="D3" s="431"/>
      <c r="E3" s="152" t="s">
        <v>60</v>
      </c>
      <c r="F3" s="152" t="s">
        <v>61</v>
      </c>
      <c r="G3" s="152" t="s">
        <v>62</v>
      </c>
      <c r="H3" s="152" t="s">
        <v>63</v>
      </c>
      <c r="I3" s="196" t="s">
        <v>64</v>
      </c>
    </row>
    <row r="4" spans="1:11" x14ac:dyDescent="0.3">
      <c r="A4" s="38" t="s">
        <v>65</v>
      </c>
      <c r="B4" s="415" t="s">
        <v>66</v>
      </c>
      <c r="C4" s="416"/>
      <c r="D4" s="43">
        <f>+SUMIF(SOR!$F:$F,'Part VIII - Revenue'!$A4,SOR!$B:$B)</f>
        <v>0</v>
      </c>
      <c r="E4" s="46"/>
      <c r="F4" s="46"/>
      <c r="G4" s="46"/>
      <c r="H4" s="46"/>
      <c r="I4" s="197">
        <f>+SUMIF(SOR!$H:$H,'Part VIII - Revenue'!$A4,SOR!$G:$G)</f>
        <v>0</v>
      </c>
    </row>
    <row r="5" spans="1:11" x14ac:dyDescent="0.3">
      <c r="A5" s="38" t="s">
        <v>67</v>
      </c>
      <c r="B5" s="417" t="s">
        <v>68</v>
      </c>
      <c r="C5" s="418"/>
      <c r="D5" s="43">
        <f>+SUMIF(SOR!$F:$F,'Part VIII - Revenue'!$A5,SOR!$B:$B)</f>
        <v>0</v>
      </c>
      <c r="E5" s="46"/>
      <c r="F5" s="46"/>
      <c r="G5" s="46"/>
      <c r="H5" s="46"/>
      <c r="I5" s="197">
        <f>+SUMIF(SOR!$H:$H,'Part VIII - Revenue'!$A5,SOR!$G:$G)</f>
        <v>0</v>
      </c>
    </row>
    <row r="6" spans="1:11" x14ac:dyDescent="0.3">
      <c r="A6" s="38" t="s">
        <v>69</v>
      </c>
      <c r="B6" s="417" t="s">
        <v>70</v>
      </c>
      <c r="C6" s="418"/>
      <c r="D6" s="43">
        <f>+SUMIF(SOR!$F:$F,'Part VIII - Revenue'!$A6,SOR!$B:$B)</f>
        <v>152678</v>
      </c>
      <c r="E6" s="46"/>
      <c r="F6" s="46"/>
      <c r="G6" s="46"/>
      <c r="H6" s="46"/>
      <c r="I6" s="197">
        <f>+SUMIF(SOR!$H:$H,'Part VIII - Revenue'!$A6,SOR!$G:$G)</f>
        <v>145827</v>
      </c>
    </row>
    <row r="7" spans="1:11" x14ac:dyDescent="0.3">
      <c r="A7" s="38" t="s">
        <v>71</v>
      </c>
      <c r="B7" s="417" t="s">
        <v>72</v>
      </c>
      <c r="C7" s="418"/>
      <c r="D7" s="43">
        <f>+SUMIF(SOR!$F:$F,'Part VIII - Revenue'!$A7,SOR!$B:$B)</f>
        <v>0</v>
      </c>
      <c r="E7" s="46"/>
      <c r="F7" s="46"/>
      <c r="G7" s="46"/>
      <c r="H7" s="46"/>
      <c r="I7" s="197">
        <f>+SUMIF(SOR!$H:$H,'Part VIII - Revenue'!$A7,SOR!$G:$G)</f>
        <v>0</v>
      </c>
    </row>
    <row r="8" spans="1:11" x14ac:dyDescent="0.3">
      <c r="A8" s="38" t="s">
        <v>73</v>
      </c>
      <c r="B8" s="417" t="s">
        <v>74</v>
      </c>
      <c r="C8" s="418"/>
      <c r="D8" s="43">
        <f>+SUMIF(SOR!$F:$F,'Part VIII - Revenue'!$A8,SOR!$B:$B)</f>
        <v>2083067</v>
      </c>
      <c r="E8" s="46"/>
      <c r="F8" s="46"/>
      <c r="G8" s="46"/>
      <c r="H8" s="46"/>
      <c r="I8" s="197">
        <f>+SUMIF(SOR!$H:$H,'Part VIII - Revenue'!$A8,SOR!$G:$G)</f>
        <v>5311998</v>
      </c>
    </row>
    <row r="9" spans="1:11" x14ac:dyDescent="0.3">
      <c r="A9" s="38" t="s">
        <v>75</v>
      </c>
      <c r="B9" s="417" t="s">
        <v>76</v>
      </c>
      <c r="C9" s="418"/>
      <c r="D9" s="43">
        <f>+SUMIF(SOR!$F:$F,'Part VIII - Revenue'!$A9,SOR!$B:$B)+SUMIF(SOR!$F:$F,'Part VIII - Revenue'!$A10,SOR!$B:$B)</f>
        <v>8057976</v>
      </c>
      <c r="E9" s="46"/>
      <c r="F9" s="46"/>
      <c r="G9" s="46"/>
      <c r="H9" s="46"/>
      <c r="I9" s="197">
        <f>+SUMIF(SOR!$H:$H,'Part VIII - Revenue'!$A9,SOR!$G:$G)</f>
        <v>2829753</v>
      </c>
    </row>
    <row r="10" spans="1:11" x14ac:dyDescent="0.3">
      <c r="A10" s="38" t="s">
        <v>77</v>
      </c>
      <c r="B10" s="417" t="s">
        <v>78</v>
      </c>
      <c r="C10" s="418"/>
      <c r="D10" s="43">
        <f>+SUMIF(SOR!$F:$F,'Part VIII - Revenue'!$A10,SOR!$B:$B)</f>
        <v>0</v>
      </c>
      <c r="E10" s="46"/>
      <c r="F10" s="46"/>
      <c r="G10" s="46"/>
      <c r="H10" s="46"/>
      <c r="I10" s="197">
        <f>+SUMIF(SOR!$H:$H,'Part VIII - Revenue'!$A10,SOR!$G:$G)</f>
        <v>87636</v>
      </c>
    </row>
    <row r="11" spans="1:11" ht="15" thickBot="1" x14ac:dyDescent="0.35">
      <c r="A11" s="153" t="s">
        <v>79</v>
      </c>
      <c r="B11" s="425" t="s">
        <v>80</v>
      </c>
      <c r="C11" s="423"/>
      <c r="D11" s="43"/>
      <c r="E11" s="43">
        <f>+SUM(D4:D9)</f>
        <v>10293721</v>
      </c>
      <c r="F11" s="46"/>
      <c r="G11" s="46"/>
      <c r="H11" s="46"/>
      <c r="I11" s="197">
        <f>SUM(I4:I10)</f>
        <v>8375214</v>
      </c>
    </row>
    <row r="12" spans="1:11" ht="16.2" x14ac:dyDescent="0.45">
      <c r="A12" s="154">
        <v>2</v>
      </c>
      <c r="B12" s="415" t="s">
        <v>81</v>
      </c>
      <c r="C12" s="416"/>
      <c r="D12" s="66" t="s">
        <v>82</v>
      </c>
      <c r="E12" s="67"/>
      <c r="F12" s="67"/>
      <c r="G12" s="67"/>
      <c r="H12" s="67"/>
      <c r="I12" s="197"/>
    </row>
    <row r="13" spans="1:11" x14ac:dyDescent="0.3">
      <c r="A13" s="38" t="s">
        <v>83</v>
      </c>
      <c r="B13" s="417" t="str">
        <f>IFERROR(+INDEX(SOR!A:F,MATCH('Part VIII - Revenue'!A13,SOR!F:F,0),1),"")</f>
        <v>Program fees</v>
      </c>
      <c r="C13" s="418"/>
      <c r="D13" s="201"/>
      <c r="E13" s="62">
        <f t="shared" ref="E13:E15" si="0">SUM(F13:H13)</f>
        <v>12254</v>
      </c>
      <c r="F13" s="62">
        <f>+SUMIF(SOR!$F:$F,'Part VIII - Revenue'!$A:$A,SOR!C:C)</f>
        <v>12254</v>
      </c>
      <c r="G13" s="62">
        <f>+SUMIF(SOR!$F:$F,'Part VIII - Revenue'!$A:$A,SOR!D:D)</f>
        <v>0</v>
      </c>
      <c r="H13" s="62">
        <f>+SUMIF(SOR!$F:$F,'Part VIII - Revenue'!$A:$A,SOR!E:E)</f>
        <v>0</v>
      </c>
      <c r="I13" s="197">
        <f>+SUMIF(SOR!$H:$H,'Part VIII - Revenue'!$A13,SOR!$G:$G)</f>
        <v>42558</v>
      </c>
      <c r="J13" s="51"/>
      <c r="K13" s="51"/>
    </row>
    <row r="14" spans="1:11" x14ac:dyDescent="0.3">
      <c r="A14" s="38" t="s">
        <v>84</v>
      </c>
      <c r="B14" s="417" t="str">
        <f>IFERROR(+INDEX(SOR!A:F,MATCH('Part VIII - Revenue'!A14,SOR!F:F,0),1),"")</f>
        <v/>
      </c>
      <c r="C14" s="418"/>
      <c r="D14" s="202"/>
      <c r="E14" s="43">
        <f t="shared" si="0"/>
        <v>0</v>
      </c>
      <c r="F14" s="62">
        <f>+SUMIF(SOR!$F:$F,'Part VIII - Revenue'!$A:$A,SOR!C:C)</f>
        <v>0</v>
      </c>
      <c r="G14" s="62">
        <f>+SUMIF(SOR!$F:$F,'Part VIII - Revenue'!$A:$A,SOR!D:D)</f>
        <v>0</v>
      </c>
      <c r="H14" s="62">
        <f>+SUMIF(SOR!$F:$F,'Part VIII - Revenue'!$A:$A,SOR!E:E)</f>
        <v>0</v>
      </c>
      <c r="I14" s="197">
        <f>+SUMIF(SOR!$H:$H,'Part VIII - Revenue'!$A14,SOR!$G:$G)</f>
        <v>0</v>
      </c>
    </row>
    <row r="15" spans="1:11" x14ac:dyDescent="0.3">
      <c r="A15" s="38" t="s">
        <v>85</v>
      </c>
      <c r="B15" s="417" t="str">
        <f>IFERROR(+INDEX(SOR!A:F,MATCH('Part VIII - Revenue'!A15,SOR!F:F,0),1),"")</f>
        <v/>
      </c>
      <c r="C15" s="418"/>
      <c r="D15" s="57"/>
      <c r="E15" s="43">
        <f t="shared" si="0"/>
        <v>0</v>
      </c>
      <c r="F15" s="62">
        <f>+SUMIF(SOR!$F:$F,'Part VIII - Revenue'!$A:$A,SOR!C:C)</f>
        <v>0</v>
      </c>
      <c r="G15" s="62">
        <f>+SUMIF(SOR!$F:$F,'Part VIII - Revenue'!$A:$A,SOR!D:D)</f>
        <v>0</v>
      </c>
      <c r="H15" s="62">
        <f>+SUMIF(SOR!$F:$F,'Part VIII - Revenue'!$A:$A,SOR!E:E)</f>
        <v>0</v>
      </c>
      <c r="I15" s="197">
        <f>+SUMIF(SOR!$H:$H,'Part VIII - Revenue'!$A15,SOR!$G:$G)</f>
        <v>0</v>
      </c>
    </row>
    <row r="16" spans="1:11" x14ac:dyDescent="0.3">
      <c r="A16" s="38" t="s">
        <v>86</v>
      </c>
      <c r="B16" s="417" t="str">
        <f>IFERROR(+INDEX(SOR!A:F,MATCH('Part VIII - Revenue'!A16,SOR!F:F,0),1),"")</f>
        <v/>
      </c>
      <c r="C16" s="418"/>
      <c r="D16" s="57"/>
      <c r="E16" s="43">
        <f t="shared" ref="E16:E22" si="1">SUM(F16:H16)</f>
        <v>0</v>
      </c>
      <c r="F16" s="62">
        <f>+SUMIF(SOR!$F:$F,'Part VIII - Revenue'!$A:$A,SOR!C:C)</f>
        <v>0</v>
      </c>
      <c r="G16" s="62">
        <f>+SUMIF(SOR!$F:$F,'Part VIII - Revenue'!$A:$A,SOR!D:D)</f>
        <v>0</v>
      </c>
      <c r="H16" s="62">
        <f>+SUMIF(SOR!$F:$F,'Part VIII - Revenue'!$A:$A,SOR!E:E)</f>
        <v>0</v>
      </c>
      <c r="I16" s="197">
        <f>+SUMIF(SOR!$H:$H,'Part VIII - Revenue'!$A16,SOR!$G:$G)</f>
        <v>0</v>
      </c>
    </row>
    <row r="17" spans="1:9" x14ac:dyDescent="0.3">
      <c r="A17" s="38" t="s">
        <v>87</v>
      </c>
      <c r="B17" s="417" t="str">
        <f>IFERROR(+INDEX(SOR!A:F,MATCH('Part VIII - Revenue'!A17,SOR!F:F,0),1),"")</f>
        <v/>
      </c>
      <c r="C17" s="418"/>
      <c r="D17" s="57"/>
      <c r="E17" s="43">
        <f t="shared" si="1"/>
        <v>0</v>
      </c>
      <c r="F17" s="62">
        <f>+SUMIF(SOR!$F:$F,'Part VIII - Revenue'!$A:$A,SOR!C:C)</f>
        <v>0</v>
      </c>
      <c r="G17" s="62">
        <f>+SUMIF(SOR!$F:$F,'Part VIII - Revenue'!$A:$A,SOR!D:D)</f>
        <v>0</v>
      </c>
      <c r="H17" s="62">
        <f>+SUMIF(SOR!$F:$F,'Part VIII - Revenue'!$A:$A,SOR!E:E)</f>
        <v>0</v>
      </c>
      <c r="I17" s="197">
        <f>+SUMIF(SOR!$H:$H,'Part VIII - Revenue'!$A17,SOR!$G:$G)</f>
        <v>0</v>
      </c>
    </row>
    <row r="18" spans="1:9" ht="15" thickBot="1" x14ac:dyDescent="0.35">
      <c r="A18" s="38" t="s">
        <v>88</v>
      </c>
      <c r="B18" s="417" t="s">
        <v>89</v>
      </c>
      <c r="C18" s="418"/>
      <c r="D18" s="203"/>
      <c r="E18" s="43">
        <f t="shared" si="1"/>
        <v>0</v>
      </c>
      <c r="F18" s="62">
        <f>+SUMIF(SOR!$F:$F,'Part VIII - Revenue'!$A:$A,SOR!C:C)</f>
        <v>0</v>
      </c>
      <c r="G18" s="62">
        <f>+SUMIF(SOR!$F:$F,'Part VIII - Revenue'!$A:$A,SOR!D:D)</f>
        <v>0</v>
      </c>
      <c r="H18" s="62">
        <f>+SUMIF(SOR!$F:$F,'Part VIII - Revenue'!$A:$A,SOR!E:E)</f>
        <v>0</v>
      </c>
      <c r="I18" s="197">
        <f>+SUMIF(SOR!$H:$H,'Part VIII - Revenue'!$A18,SOR!$G:$G)</f>
        <v>0</v>
      </c>
    </row>
    <row r="19" spans="1:9" ht="15" thickBot="1" x14ac:dyDescent="0.35">
      <c r="A19" s="68" t="s">
        <v>90</v>
      </c>
      <c r="B19" s="421" t="s">
        <v>91</v>
      </c>
      <c r="C19" s="423"/>
      <c r="D19" s="70"/>
      <c r="E19" s="63">
        <f>+SUM(E13:E18)</f>
        <v>12254</v>
      </c>
      <c r="F19" s="64"/>
      <c r="G19" s="64"/>
      <c r="H19" s="64"/>
      <c r="I19" s="197">
        <f>SUM(I13:I18)</f>
        <v>42558</v>
      </c>
    </row>
    <row r="20" spans="1:9" x14ac:dyDescent="0.3">
      <c r="A20" s="38">
        <v>3</v>
      </c>
      <c r="B20" s="415" t="s">
        <v>92</v>
      </c>
      <c r="C20" s="432"/>
      <c r="D20" s="416"/>
      <c r="E20" s="43">
        <f>+SUM(F20:H20)</f>
        <v>24774</v>
      </c>
      <c r="F20" s="62">
        <f>+SUMIF(SOR!$F:$F,'Part VIII - Revenue'!$A:$A,SOR!C:C)</f>
        <v>0</v>
      </c>
      <c r="G20" s="62">
        <f>+SUMIF(SOR!$F:$F,'Part VIII - Revenue'!$A:$A,SOR!D:D)</f>
        <v>0</v>
      </c>
      <c r="H20" s="62">
        <f>+SUMIF(SOR!$F:$F,'Part VIII - Revenue'!$A:$A,SOR!E:E)</f>
        <v>24774</v>
      </c>
      <c r="I20" s="197">
        <f>+SUMIF(SOR!$H:$H,'Part VIII - Revenue'!$A20,SOR!$G:$G)</f>
        <v>29358</v>
      </c>
    </row>
    <row r="21" spans="1:9" x14ac:dyDescent="0.3">
      <c r="A21" s="38">
        <v>4</v>
      </c>
      <c r="B21" s="417" t="s">
        <v>93</v>
      </c>
      <c r="C21" s="424"/>
      <c r="D21" s="418"/>
      <c r="E21" s="43">
        <f t="shared" si="1"/>
        <v>0</v>
      </c>
      <c r="F21" s="62">
        <f>+SUMIF(SOR!$F:$F,'Part VIII - Revenue'!$A:$A,SOR!C:C)</f>
        <v>0</v>
      </c>
      <c r="G21" s="62">
        <f>+SUMIF(SOR!$F:$F,'Part VIII - Revenue'!$A:$A,SOR!D:D)</f>
        <v>0</v>
      </c>
      <c r="H21" s="62">
        <f>+SUMIF(SOR!$F:$F,'Part VIII - Revenue'!$A:$A,SOR!E:E)</f>
        <v>0</v>
      </c>
      <c r="I21" s="197">
        <f>+SUMIF(SOR!$H:$H,'Part VIII - Revenue'!$A21,SOR!$G:$G)</f>
        <v>0</v>
      </c>
    </row>
    <row r="22" spans="1:9" ht="15" thickBot="1" x14ac:dyDescent="0.35">
      <c r="A22" s="38">
        <v>5</v>
      </c>
      <c r="B22" s="417" t="s">
        <v>94</v>
      </c>
      <c r="C22" s="424"/>
      <c r="D22" s="418"/>
      <c r="E22" s="43">
        <f t="shared" si="1"/>
        <v>0</v>
      </c>
      <c r="F22" s="62">
        <f>+SUMIF(SOR!$F:$F,'Part VIII - Revenue'!$A:$A,SOR!C:C)</f>
        <v>0</v>
      </c>
      <c r="G22" s="62">
        <f>+SUMIF(SOR!$F:$F,'Part VIII - Revenue'!$A:$A,SOR!D:D)</f>
        <v>0</v>
      </c>
      <c r="H22" s="62">
        <f>+SUMIF(SOR!$F:$F,'Part VIII - Revenue'!$A:$A,SOR!E:E)</f>
        <v>0</v>
      </c>
      <c r="I22" s="197">
        <f>+SUMIF(SOR!$H:$H,'Part VIII - Revenue'!$A22,SOR!$G:$G)</f>
        <v>0</v>
      </c>
    </row>
    <row r="23" spans="1:9" ht="15" thickBot="1" x14ac:dyDescent="0.35">
      <c r="A23" s="38"/>
      <c r="B23" s="80"/>
      <c r="C23" s="130" t="s">
        <v>95</v>
      </c>
      <c r="D23" s="155" t="s">
        <v>96</v>
      </c>
      <c r="E23" s="46"/>
      <c r="F23" s="46"/>
      <c r="G23" s="46"/>
      <c r="H23" s="46"/>
      <c r="I23" s="197"/>
    </row>
    <row r="24" spans="1:9" x14ac:dyDescent="0.3">
      <c r="A24" s="38" t="s">
        <v>97</v>
      </c>
      <c r="B24" s="80" t="s">
        <v>98</v>
      </c>
      <c r="C24" s="43">
        <f>+SUMIF(SOR!F:F,"6a-R",SOR!B:B)</f>
        <v>0</v>
      </c>
      <c r="D24" s="43">
        <f>+SUMIF(SOR!F:F,"6a-P",SOR!B:B)</f>
        <v>0</v>
      </c>
      <c r="E24" s="46"/>
      <c r="F24" s="46"/>
      <c r="G24" s="46"/>
      <c r="H24" s="46"/>
      <c r="I24" s="197">
        <f>+SUMIF(SOR!H:H,"6a-R",SOR!G:G)+SUMIF(SOR!H:H,"6a-P",SOR!G:G)</f>
        <v>0</v>
      </c>
    </row>
    <row r="25" spans="1:9" x14ac:dyDescent="0.3">
      <c r="A25" s="38" t="s">
        <v>99</v>
      </c>
      <c r="B25" s="80" t="s">
        <v>100</v>
      </c>
      <c r="C25" s="43">
        <f>+SUMIF(SOR!F:F,"6b-R",SOR!B:B)</f>
        <v>0</v>
      </c>
      <c r="D25" s="43">
        <f>+SUMIF(SOR!F:F,"6b-P",SOR!B:B)</f>
        <v>0</v>
      </c>
      <c r="E25" s="46"/>
      <c r="F25" s="46"/>
      <c r="G25" s="46"/>
      <c r="H25" s="46"/>
      <c r="I25" s="197">
        <f>+SUMIF(SOR!H:H,"6b-R",SOR!G:G)+SUMIF(SOR!H:H,"6b-P",SOR!G:G)</f>
        <v>0</v>
      </c>
    </row>
    <row r="26" spans="1:9" ht="15" thickBot="1" x14ac:dyDescent="0.35">
      <c r="A26" s="38" t="s">
        <v>101</v>
      </c>
      <c r="B26" s="80" t="s">
        <v>102</v>
      </c>
      <c r="C26" s="70">
        <f>+C24-C25</f>
        <v>0</v>
      </c>
      <c r="D26" s="70">
        <f>D24-D25</f>
        <v>0</v>
      </c>
      <c r="E26" s="46"/>
      <c r="F26" s="46"/>
      <c r="G26" s="46"/>
      <c r="H26" s="46"/>
      <c r="I26" s="197">
        <f>+I24-I25</f>
        <v>0</v>
      </c>
    </row>
    <row r="27" spans="1:9" ht="15" thickBot="1" x14ac:dyDescent="0.35">
      <c r="A27" s="38" t="s">
        <v>103</v>
      </c>
      <c r="B27" s="417" t="s">
        <v>104</v>
      </c>
      <c r="C27" s="424"/>
      <c r="D27" s="418"/>
      <c r="E27" s="43">
        <f>+SUM(F27:H27)</f>
        <v>0</v>
      </c>
      <c r="F27" s="43">
        <f>+SUMIF(SOR!F:F,"6a-R",SOR!C:C)-SUMIF(SOR!F:F,"6b-R",SOR!C:C)+SUMIF(SOR!F:F,"6a-P",SOR!C:C)-SUMIF(SOR!F:F,"6b-P",SOR!C:C)</f>
        <v>0</v>
      </c>
      <c r="G27" s="43">
        <f>+SUMIF(SOR!F:F,"6a-R",SOR!D:D)-SUMIF(SOR!F:F,"6b-R",SOR!D:D)+SUMIF(SOR!F:F,"6a-P",SOR!D:D)-SUMIF(SOR!F:F,"6b-P",SOR!D:D)</f>
        <v>0</v>
      </c>
      <c r="H27" s="43">
        <f>+SUMIF(SOR!F:F,"6a-R",SOR!E:E)-SUMIF(SOR!F:F,"6b-R",SOR!E:E)+SUMIF(SOR!F:F,"6a-P",SOR!E:E)-SUMIF(SOR!F:F,"6b-P",SOR!E:E)</f>
        <v>0</v>
      </c>
      <c r="I27" s="197">
        <f>+I26</f>
        <v>0</v>
      </c>
    </row>
    <row r="28" spans="1:9" ht="15" thickBot="1" x14ac:dyDescent="0.35">
      <c r="A28" s="38"/>
      <c r="B28" s="80"/>
      <c r="C28" s="130" t="s">
        <v>105</v>
      </c>
      <c r="D28" s="155" t="s">
        <v>106</v>
      </c>
      <c r="E28" s="46"/>
      <c r="F28" s="46"/>
      <c r="G28" s="46"/>
      <c r="H28" s="46"/>
      <c r="I28" s="197"/>
    </row>
    <row r="29" spans="1:9" x14ac:dyDescent="0.3">
      <c r="A29" s="38" t="s">
        <v>107</v>
      </c>
      <c r="B29" s="80" t="s">
        <v>108</v>
      </c>
      <c r="C29" s="43">
        <f>+SUMIF(SOR!F:F,"7a-S",SOR!B:B)</f>
        <v>0</v>
      </c>
      <c r="D29" s="43">
        <f>+SUMIF(SOR!F:F,"7a-O",SOR!B:B)</f>
        <v>0</v>
      </c>
      <c r="E29" s="46"/>
      <c r="F29" s="46"/>
      <c r="G29" s="46"/>
      <c r="H29" s="46"/>
      <c r="I29" s="197">
        <f>+SUMIF(SOR!H:H,"7a-S",SOR!G:G)+SUMIF(SOR!H:H,"7a-O",SOR!G:G)</f>
        <v>103637</v>
      </c>
    </row>
    <row r="30" spans="1:9" x14ac:dyDescent="0.3">
      <c r="A30" s="38" t="s">
        <v>109</v>
      </c>
      <c r="B30" s="80" t="s">
        <v>110</v>
      </c>
      <c r="C30" s="43">
        <f>+SUMIF(SOR!F:F,"7b-S",SOR!B:B)</f>
        <v>0</v>
      </c>
      <c r="D30" s="43">
        <f>+SUMIF(SOR!F:F,"7b-o",SOR!B:B)</f>
        <v>0</v>
      </c>
      <c r="E30" s="46"/>
      <c r="F30" s="46"/>
      <c r="G30" s="46"/>
      <c r="H30" s="46"/>
      <c r="I30" s="197">
        <f>+SUMIF(SOR!H:H,"7b-S",SOR!G:G)+SUMIF(SOR!H:H,"7b-O",SOR!G:G)</f>
        <v>103801</v>
      </c>
    </row>
    <row r="31" spans="1:9" ht="15" thickBot="1" x14ac:dyDescent="0.35">
      <c r="A31" s="38" t="s">
        <v>111</v>
      </c>
      <c r="B31" s="80" t="s">
        <v>112</v>
      </c>
      <c r="C31" s="70">
        <f>+C29-C30</f>
        <v>0</v>
      </c>
      <c r="D31" s="70">
        <f>+D29-D30</f>
        <v>0</v>
      </c>
      <c r="E31" s="46"/>
      <c r="F31" s="46"/>
      <c r="G31" s="46"/>
      <c r="H31" s="46"/>
      <c r="I31" s="197">
        <f>+I29-I30</f>
        <v>-164</v>
      </c>
    </row>
    <row r="32" spans="1:9" ht="15" thickBot="1" x14ac:dyDescent="0.35">
      <c r="A32" s="38" t="s">
        <v>113</v>
      </c>
      <c r="B32" s="417" t="s">
        <v>114</v>
      </c>
      <c r="C32" s="424"/>
      <c r="D32" s="418"/>
      <c r="E32" s="43">
        <f>SUM(F32:H32)</f>
        <v>0</v>
      </c>
      <c r="F32" s="43">
        <f>+SUMIF(SOR!F:F,"7a-S",SOR!C:C)-SUMIF(SOR!F:F,"7b-S",SOR!C:C)+SUMIF(SOR!F:F,"7a-O",SOR!C:C)-SUMIF(SOR!F:F,"7b-O",SOR!C:C)</f>
        <v>0</v>
      </c>
      <c r="G32" s="43">
        <f>+SUMIF(SOR!F:F,"7a-S",SOR!D:D)-SUMIF(SOR!F:F,"7b-S",SOR!D:D)+SUMIF(SOR!F:F,"7a-O",SOR!D:D)-SUMIF(SOR!F:F,"7b-O",SOR!D:D)</f>
        <v>0</v>
      </c>
      <c r="H32" s="43">
        <f>+SUMIF(SOR!F:F,"7a-S",SOR!E:E)-SUMIF(SOR!F:F,"7b-S",SOR!E:E)+SUMIF(SOR!F:F,"7a-O",SOR!E:E)-SUMIF(SOR!F:F,"7b-O",SOR!E:E)</f>
        <v>0</v>
      </c>
      <c r="I32" s="197">
        <f>+I31</f>
        <v>-164</v>
      </c>
    </row>
    <row r="33" spans="1:9" x14ac:dyDescent="0.3">
      <c r="A33" s="38" t="s">
        <v>115</v>
      </c>
      <c r="B33" s="156" t="s">
        <v>116</v>
      </c>
      <c r="C33"/>
      <c r="D33" s="157">
        <f>+SUMIF(SOR!F:F,A33,SOR!B:B)</f>
        <v>48164</v>
      </c>
      <c r="E33" s="151"/>
      <c r="F33" s="46"/>
      <c r="G33" s="46"/>
      <c r="H33" s="46"/>
      <c r="I33" s="197">
        <f>+SUMIF(SOR!$H:$H,'Part VIII - Revenue'!$A33,SOR!$G:$G)</f>
        <v>33930</v>
      </c>
    </row>
    <row r="34" spans="1:9" ht="15" thickBot="1" x14ac:dyDescent="0.35">
      <c r="A34" s="38" t="s">
        <v>117</v>
      </c>
      <c r="B34" s="417" t="s">
        <v>118</v>
      </c>
      <c r="C34" s="424"/>
      <c r="D34" s="70">
        <f>+SUMIF(SOR!F:F,A34,SOR!B:B)</f>
        <v>48164</v>
      </c>
      <c r="E34" s="151"/>
      <c r="F34" s="46"/>
      <c r="G34" s="46"/>
      <c r="H34" s="46"/>
      <c r="I34" s="197">
        <f>+SUMIF(SOR!$H:$H,'Part VIII - Revenue'!$A34,SOR!$G:$G)</f>
        <v>33930</v>
      </c>
    </row>
    <row r="35" spans="1:9" ht="15" thickBot="1" x14ac:dyDescent="0.35">
      <c r="A35" s="38" t="s">
        <v>119</v>
      </c>
      <c r="B35" s="417" t="s">
        <v>120</v>
      </c>
      <c r="C35" s="424"/>
      <c r="D35" s="418"/>
      <c r="E35" s="43">
        <f>+D33-D34</f>
        <v>0</v>
      </c>
      <c r="F35" s="46"/>
      <c r="G35" s="57"/>
      <c r="H35" s="57"/>
      <c r="I35" s="197">
        <f>+I33-I34</f>
        <v>0</v>
      </c>
    </row>
    <row r="36" spans="1:9" x14ac:dyDescent="0.3">
      <c r="A36" s="38" t="s">
        <v>121</v>
      </c>
      <c r="B36" s="417" t="s">
        <v>122</v>
      </c>
      <c r="C36" s="418"/>
      <c r="D36" s="157">
        <f>+SUMIF(SOR!F:F,A36,SOR!B:B)</f>
        <v>0</v>
      </c>
      <c r="E36" s="46"/>
      <c r="F36" s="46"/>
      <c r="G36" s="46"/>
      <c r="H36" s="46"/>
      <c r="I36" s="197">
        <f>+SUMIF(SOR!$H:$H,'Part VIII - Revenue'!$A36,SOR!$G:$G)</f>
        <v>0</v>
      </c>
    </row>
    <row r="37" spans="1:9" ht="15" thickBot="1" x14ac:dyDescent="0.35">
      <c r="A37" s="38" t="s">
        <v>123</v>
      </c>
      <c r="B37" s="417" t="s">
        <v>118</v>
      </c>
      <c r="C37" s="418"/>
      <c r="D37" s="70">
        <f>+SUMIF(SOR!F:F,A37,SOR!B:B)</f>
        <v>0</v>
      </c>
      <c r="E37" s="46"/>
      <c r="F37" s="46"/>
      <c r="G37" s="46"/>
      <c r="H37" s="46"/>
      <c r="I37" s="197">
        <f>+SUMIF(SOR!$H:$H,'Part VIII - Revenue'!$A37,SOR!$G:$G)</f>
        <v>0</v>
      </c>
    </row>
    <row r="38" spans="1:9" ht="15" thickBot="1" x14ac:dyDescent="0.35">
      <c r="A38" s="38" t="s">
        <v>124</v>
      </c>
      <c r="B38" s="417" t="s">
        <v>125</v>
      </c>
      <c r="C38" s="424"/>
      <c r="D38" s="418"/>
      <c r="E38" s="43">
        <f>SUM(F38:H38)</f>
        <v>0</v>
      </c>
      <c r="F38" s="43">
        <f>+SUMIF(SOR!F:F,"9a",SOR!C:C)-SUMIF(SOR!F:F,"9b",SOR!C:C)</f>
        <v>0</v>
      </c>
      <c r="G38" s="43">
        <f>+SUMIF(SOR!F:F,"9a",SOR!D:D)-SUMIF(SOR!F:F,"9b",SOR!D:D)</f>
        <v>0</v>
      </c>
      <c r="H38" s="43">
        <f>+SUMIF(SOR!F:F,"9a",SOR!E:E)-SUMIF(SOR!F:F,"9b",SOR!E:E)</f>
        <v>0</v>
      </c>
      <c r="I38" s="197">
        <f>+I36-I37</f>
        <v>0</v>
      </c>
    </row>
    <row r="39" spans="1:9" x14ac:dyDescent="0.3">
      <c r="A39" s="38" t="s">
        <v>126</v>
      </c>
      <c r="B39" s="417" t="s">
        <v>127</v>
      </c>
      <c r="C39" s="418"/>
      <c r="D39" s="157">
        <f>+SUMIF(SOR!F:F,A39,SOR!B:B)</f>
        <v>0</v>
      </c>
      <c r="E39" s="46"/>
      <c r="F39" s="46"/>
      <c r="G39" s="46"/>
      <c r="H39" s="46"/>
      <c r="I39" s="197">
        <f>+SUMIF(SOR!$H:$H,'Part VIII - Revenue'!$A39,SOR!$G:$G)</f>
        <v>0</v>
      </c>
    </row>
    <row r="40" spans="1:9" ht="15" thickBot="1" x14ac:dyDescent="0.35">
      <c r="A40" s="38" t="s">
        <v>128</v>
      </c>
      <c r="B40" s="417" t="s">
        <v>129</v>
      </c>
      <c r="C40" s="418"/>
      <c r="D40" s="70">
        <f>+SUMIF(SOR!F:F,A40,SOR!B:B)</f>
        <v>0</v>
      </c>
      <c r="E40" s="46"/>
      <c r="F40" s="46"/>
      <c r="G40" s="46"/>
      <c r="H40" s="46"/>
      <c r="I40" s="197">
        <f>+SUMIF(SOR!$H:$H,'Part VIII - Revenue'!$A40,SOR!$G:$G)</f>
        <v>0</v>
      </c>
    </row>
    <row r="41" spans="1:9" ht="15" thickBot="1" x14ac:dyDescent="0.35">
      <c r="A41" s="38" t="s">
        <v>130</v>
      </c>
      <c r="B41" s="417" t="s">
        <v>131</v>
      </c>
      <c r="C41" s="424"/>
      <c r="D41" s="418"/>
      <c r="E41" s="43">
        <f>SUM(F41:H41)</f>
        <v>0</v>
      </c>
      <c r="F41" s="43">
        <f>+SUMIF(SOR!F:F,"10a",SOR!C:C)-SUMIF(SOR!F:F,"10b",SOR!C:C)</f>
        <v>0</v>
      </c>
      <c r="G41" s="43">
        <f>+SUMIF(SOR!F:F,"10a",SOR!D:D)-SUMIF(SOR!F:F,"10b",SOR!D:D)</f>
        <v>0</v>
      </c>
      <c r="H41" s="43">
        <f>+SUMIF(SOR!F:F,"10a",SOR!E:E)-SUMIF(SOR!F:F,"10b",SOR!E:E)</f>
        <v>0</v>
      </c>
      <c r="I41" s="197">
        <f>+I39-I40</f>
        <v>0</v>
      </c>
    </row>
    <row r="42" spans="1:9" ht="16.2" x14ac:dyDescent="0.45">
      <c r="A42" s="154">
        <v>11</v>
      </c>
      <c r="B42" s="415" t="s">
        <v>132</v>
      </c>
      <c r="C42" s="416"/>
      <c r="D42" s="69" t="s">
        <v>82</v>
      </c>
      <c r="E42" s="67"/>
      <c r="F42" s="67"/>
      <c r="G42" s="67"/>
      <c r="H42" s="67"/>
      <c r="I42" s="197"/>
    </row>
    <row r="43" spans="1:9" x14ac:dyDescent="0.3">
      <c r="A43" s="38" t="s">
        <v>133</v>
      </c>
      <c r="B43" s="417" t="str">
        <f>IFERROR(+INDEX(SOR!A:F,MATCH('Part VIII - Revenue'!A43,SOR!F:F,0),1),"")</f>
        <v>Other Income</v>
      </c>
      <c r="C43" s="418"/>
      <c r="D43" s="202"/>
      <c r="E43" s="43">
        <f>+SUM(F43:H43)</f>
        <v>127757</v>
      </c>
      <c r="F43" s="62">
        <f>+SUMIF(SOR!$F:$F,'Part VIII - Revenue'!$A:$A,SOR!C:C)</f>
        <v>127757</v>
      </c>
      <c r="G43" s="62">
        <f>+SUMIF(SOR!$F:$F,'Part VIII - Revenue'!$A:$A,SOR!D:D)</f>
        <v>0</v>
      </c>
      <c r="H43" s="62">
        <f>+SUMIF(SOR!$F:$F,'Part VIII - Revenue'!$A:$A,SOR!E:E)</f>
        <v>0</v>
      </c>
      <c r="I43" s="197">
        <f>+SUMIF(SOR!$H:$H,'Part VIII - Revenue'!$A43,SOR!$G:$G)</f>
        <v>0</v>
      </c>
    </row>
    <row r="44" spans="1:9" x14ac:dyDescent="0.3">
      <c r="A44" s="38" t="s">
        <v>134</v>
      </c>
      <c r="B44" s="417" t="str">
        <f>IFERROR(+INDEX(SOR!A:F,MATCH('Part VIII - Revenue'!A44,SOR!F:F,0),1),"")</f>
        <v/>
      </c>
      <c r="C44" s="418"/>
      <c r="D44" s="57"/>
      <c r="E44" s="43">
        <f t="shared" ref="E44:E46" si="2">+SUM(F44:H44)</f>
        <v>0</v>
      </c>
      <c r="F44" s="62">
        <f>+SUMIF(SOR!$F:$F,'Part VIII - Revenue'!$A:$A,SOR!C:C)</f>
        <v>0</v>
      </c>
      <c r="G44" s="62">
        <f>+SUMIF(SOR!$F:$F,'Part VIII - Revenue'!$A:$A,SOR!D:D)</f>
        <v>0</v>
      </c>
      <c r="H44" s="62">
        <f>+SUMIF(SOR!$F:$F,'Part VIII - Revenue'!$A:$A,SOR!E:E)</f>
        <v>0</v>
      </c>
      <c r="I44" s="197">
        <f>+SUMIF(SOR!$H:$H,'Part VIII - Revenue'!$A44,SOR!$G:$G)</f>
        <v>0</v>
      </c>
    </row>
    <row r="45" spans="1:9" x14ac:dyDescent="0.3">
      <c r="A45" s="38" t="s">
        <v>135</v>
      </c>
      <c r="B45" s="417" t="str">
        <f>IFERROR(+INDEX(SOR!A:F,MATCH('Part VIII - Revenue'!A45,SOR!F:F,0),1),"")</f>
        <v/>
      </c>
      <c r="C45" s="418"/>
      <c r="D45" s="57"/>
      <c r="E45" s="43">
        <f t="shared" si="2"/>
        <v>0</v>
      </c>
      <c r="F45" s="62">
        <f>+SUMIF(SOR!$F:$F,'Part VIII - Revenue'!$A:$A,SOR!C:C)</f>
        <v>0</v>
      </c>
      <c r="G45" s="62">
        <f>+SUMIF(SOR!$F:$F,'Part VIII - Revenue'!$A:$A,SOR!D:D)</f>
        <v>0</v>
      </c>
      <c r="H45" s="62">
        <f>+SUMIF(SOR!$F:$F,'Part VIII - Revenue'!$A:$A,SOR!E:E)</f>
        <v>0</v>
      </c>
      <c r="I45" s="197">
        <f>+SUMIF(SOR!$H:$H,'Part VIII - Revenue'!$A45,SOR!$G:$G)</f>
        <v>0</v>
      </c>
    </row>
    <row r="46" spans="1:9" ht="15" thickBot="1" x14ac:dyDescent="0.35">
      <c r="A46" s="161" t="s">
        <v>136</v>
      </c>
      <c r="B46" s="419" t="s">
        <v>137</v>
      </c>
      <c r="C46" s="420"/>
      <c r="D46" s="204"/>
      <c r="E46" s="162">
        <f t="shared" si="2"/>
        <v>0</v>
      </c>
      <c r="F46" s="163">
        <f>+SUMIF(SOR!$F:$F,'Part VIII - Revenue'!$A:$A,SOR!C:C)</f>
        <v>0</v>
      </c>
      <c r="G46" s="163">
        <f>+SUMIF(SOR!$F:$F,'Part VIII - Revenue'!$A:$A,SOR!D:D)</f>
        <v>0</v>
      </c>
      <c r="H46" s="163">
        <f>+SUMIF(SOR!$F:$F,'Part VIII - Revenue'!$A:$A,SOR!E:E)</f>
        <v>0</v>
      </c>
      <c r="I46" s="198">
        <f>+SUMIF(SOR!$H:$H,'Part VIII - Revenue'!$A46,SOR!$G:$G)</f>
        <v>0</v>
      </c>
    </row>
    <row r="47" spans="1:9" ht="15" thickBot="1" x14ac:dyDescent="0.35">
      <c r="A47" s="68" t="s">
        <v>138</v>
      </c>
      <c r="B47" s="421" t="s">
        <v>139</v>
      </c>
      <c r="C47" s="422"/>
      <c r="D47" s="423"/>
      <c r="E47" s="70">
        <f>+SUM(E43:E46)</f>
        <v>127757</v>
      </c>
      <c r="F47" s="164"/>
      <c r="G47" s="164"/>
      <c r="H47" s="164"/>
      <c r="I47" s="199">
        <f>SUM(I43:I46)</f>
        <v>0</v>
      </c>
    </row>
    <row r="48" spans="1:9" s="47" customFormat="1" ht="18.75" customHeight="1" thickBot="1" x14ac:dyDescent="0.35">
      <c r="A48" s="168">
        <v>12</v>
      </c>
      <c r="B48" s="412" t="s">
        <v>60</v>
      </c>
      <c r="C48" s="413"/>
      <c r="D48" s="414"/>
      <c r="E48" s="170">
        <f>SUM(F48:H48)+E11+E35</f>
        <v>10458506</v>
      </c>
      <c r="F48" s="170">
        <f>SUM(F13:F22,F27,F32,F38,F41,F43:F46)</f>
        <v>140011</v>
      </c>
      <c r="G48" s="170">
        <f>SUM(G13:G22,G27,G32,G38,G41,G43:G46)</f>
        <v>0</v>
      </c>
      <c r="H48" s="170">
        <f>SUM(H13:H22,H27,H32,H38,H41,H43:H46)</f>
        <v>24774</v>
      </c>
      <c r="I48" s="200">
        <f>+I47+I41+I38+I35+I32+I27+I22+I21+I20+I19+I11</f>
        <v>8446966</v>
      </c>
    </row>
    <row r="49" spans="4:8" x14ac:dyDescent="0.3">
      <c r="E49" s="53"/>
      <c r="F49" s="53"/>
      <c r="G49" s="53"/>
      <c r="H49" s="53"/>
    </row>
    <row r="50" spans="4:8" x14ac:dyDescent="0.3">
      <c r="D50" s="49"/>
    </row>
    <row r="51" spans="4:8" x14ac:dyDescent="0.3">
      <c r="E51" s="53"/>
      <c r="F51" s="53"/>
      <c r="G51" s="53"/>
      <c r="H51" s="53"/>
    </row>
    <row r="52" spans="4:8" x14ac:dyDescent="0.3">
      <c r="E52" s="53"/>
      <c r="F52" s="53"/>
      <c r="G52" s="53"/>
      <c r="H52" s="53"/>
    </row>
    <row r="53" spans="4:8" x14ac:dyDescent="0.3">
      <c r="E53" s="53"/>
      <c r="F53" s="53"/>
      <c r="G53" s="53"/>
      <c r="H53" s="53"/>
    </row>
    <row r="54" spans="4:8" x14ac:dyDescent="0.3">
      <c r="E54" s="53"/>
      <c r="F54" s="53"/>
      <c r="G54" s="53"/>
      <c r="H54" s="53"/>
    </row>
    <row r="55" spans="4:8" x14ac:dyDescent="0.3">
      <c r="E55" s="53"/>
      <c r="F55" s="53"/>
      <c r="G55" s="53"/>
      <c r="H55" s="53"/>
    </row>
    <row r="56" spans="4:8" x14ac:dyDescent="0.3">
      <c r="E56" s="53"/>
      <c r="F56" s="53"/>
      <c r="G56" s="53"/>
      <c r="H56" s="53"/>
    </row>
    <row r="57" spans="4:8" x14ac:dyDescent="0.3">
      <c r="E57" s="53"/>
      <c r="F57" s="53"/>
      <c r="G57" s="53"/>
      <c r="H57" s="53"/>
    </row>
    <row r="58" spans="4:8" x14ac:dyDescent="0.3">
      <c r="E58" s="53"/>
      <c r="F58" s="53"/>
      <c r="G58" s="53"/>
      <c r="H58" s="53"/>
    </row>
    <row r="59" spans="4:8" x14ac:dyDescent="0.3">
      <c r="E59" s="53"/>
      <c r="F59" s="53"/>
      <c r="G59" s="53"/>
      <c r="H59" s="53"/>
    </row>
    <row r="60" spans="4:8" x14ac:dyDescent="0.3">
      <c r="E60" s="53"/>
      <c r="F60" s="53"/>
      <c r="G60" s="53"/>
      <c r="H60" s="53"/>
    </row>
    <row r="61" spans="4:8" x14ac:dyDescent="0.3">
      <c r="E61" s="53"/>
      <c r="F61" s="53"/>
      <c r="G61" s="53"/>
      <c r="H61" s="53"/>
    </row>
    <row r="62" spans="4:8" x14ac:dyDescent="0.3">
      <c r="E62" s="53"/>
      <c r="F62" s="53"/>
      <c r="G62" s="53"/>
      <c r="H62" s="53"/>
    </row>
    <row r="63" spans="4:8" x14ac:dyDescent="0.3">
      <c r="E63" s="53"/>
      <c r="F63" s="53"/>
      <c r="G63" s="53"/>
      <c r="H63" s="53"/>
    </row>
    <row r="64" spans="4:8" x14ac:dyDescent="0.3">
      <c r="E64" s="53"/>
      <c r="F64" s="53"/>
      <c r="G64" s="53"/>
      <c r="H64" s="53"/>
    </row>
    <row r="65" spans="5:8" x14ac:dyDescent="0.3">
      <c r="E65" s="53"/>
      <c r="F65" s="53"/>
      <c r="G65" s="53"/>
      <c r="H65" s="53"/>
    </row>
    <row r="66" spans="5:8" x14ac:dyDescent="0.3">
      <c r="E66" s="53"/>
      <c r="F66" s="53"/>
      <c r="G66" s="53"/>
      <c r="H66" s="53"/>
    </row>
  </sheetData>
  <sheetProtection algorithmName="SHA-512" hashValue="aDEHQjaQMD+MsP0hwH23sPxEnN6hFmolUgJ71GyHKHJVCLmfslAbBDXsVXgXn6CVD0v42ZO8VO31bvibi+kXMA==" saltValue="EO6pPOLNGRqjIPQT9wLhgQ==" spinCount="100000" sheet="1"/>
  <mergeCells count="38">
    <mergeCell ref="A2:H2"/>
    <mergeCell ref="B9:C9"/>
    <mergeCell ref="B3:D3"/>
    <mergeCell ref="B27:D27"/>
    <mergeCell ref="B20:D20"/>
    <mergeCell ref="B21:D21"/>
    <mergeCell ref="B22:D22"/>
    <mergeCell ref="B12:C12"/>
    <mergeCell ref="B13:C13"/>
    <mergeCell ref="B14:C14"/>
    <mergeCell ref="B15:C15"/>
    <mergeCell ref="B16:C16"/>
    <mergeCell ref="B4:C4"/>
    <mergeCell ref="B5:C5"/>
    <mergeCell ref="B6:C6"/>
    <mergeCell ref="B7:C7"/>
    <mergeCell ref="B8:C8"/>
    <mergeCell ref="B10:C10"/>
    <mergeCell ref="B11:C11"/>
    <mergeCell ref="B32:D32"/>
    <mergeCell ref="B35:D35"/>
    <mergeCell ref="B34:C34"/>
    <mergeCell ref="B17:C17"/>
    <mergeCell ref="B18:C18"/>
    <mergeCell ref="B19:C19"/>
    <mergeCell ref="B36:C36"/>
    <mergeCell ref="B37:C37"/>
    <mergeCell ref="B38:D38"/>
    <mergeCell ref="B41:D41"/>
    <mergeCell ref="B39:C39"/>
    <mergeCell ref="B40:C40"/>
    <mergeCell ref="B48:D48"/>
    <mergeCell ref="B42:C42"/>
    <mergeCell ref="B43:C43"/>
    <mergeCell ref="B44:C44"/>
    <mergeCell ref="B45:C45"/>
    <mergeCell ref="B46:C46"/>
    <mergeCell ref="B47:D47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92D050"/>
  </sheetPr>
  <dimension ref="A1:G49"/>
  <sheetViews>
    <sheetView workbookViewId="0">
      <selection activeCell="C12" sqref="A12:XFD12"/>
    </sheetView>
  </sheetViews>
  <sheetFormatPr defaultColWidth="9.109375" defaultRowHeight="14.4" x14ac:dyDescent="0.3"/>
  <cols>
    <col min="1" max="1" width="7.33203125" style="50" customWidth="1"/>
    <col min="2" max="2" width="87.109375" style="47" bestFit="1" customWidth="1"/>
    <col min="3" max="6" width="18.33203125" style="48" customWidth="1"/>
    <col min="7" max="7" width="18.33203125" style="49" customWidth="1"/>
    <col min="8" max="16384" width="9.109375" style="49"/>
  </cols>
  <sheetData>
    <row r="1" spans="1:7" ht="15" thickBot="1" x14ac:dyDescent="0.35"/>
    <row r="2" spans="1:7" ht="15" thickBot="1" x14ac:dyDescent="0.35">
      <c r="A2" s="433" t="s">
        <v>140</v>
      </c>
      <c r="B2" s="434"/>
      <c r="C2" s="434"/>
      <c r="D2" s="434"/>
      <c r="E2" s="434"/>
      <c r="F2" s="435"/>
      <c r="G2" s="195"/>
    </row>
    <row r="3" spans="1:7" s="50" customFormat="1" ht="15" thickBot="1" x14ac:dyDescent="0.35">
      <c r="A3" s="72" t="s">
        <v>58</v>
      </c>
      <c r="B3" s="72" t="s">
        <v>59</v>
      </c>
      <c r="C3" s="41" t="s">
        <v>141</v>
      </c>
      <c r="D3" s="41" t="s">
        <v>142</v>
      </c>
      <c r="E3" s="41" t="s">
        <v>143</v>
      </c>
      <c r="F3" s="41" t="s">
        <v>144</v>
      </c>
      <c r="G3" s="205" t="s">
        <v>64</v>
      </c>
    </row>
    <row r="4" spans="1:7" x14ac:dyDescent="0.3">
      <c r="A4" s="38">
        <v>1</v>
      </c>
      <c r="B4" s="73" t="s">
        <v>145</v>
      </c>
      <c r="C4" s="42">
        <f>SUM(D4:F4)</f>
        <v>0</v>
      </c>
      <c r="D4" s="43">
        <f>+SUMIF(SOFE!$J:$J,'Part IX - Expenses'!$A4,SOFE!E:E)</f>
        <v>0</v>
      </c>
      <c r="E4" s="46"/>
      <c r="F4" s="46"/>
      <c r="G4" s="197">
        <f>+SUMIF(SOFE!K:K,'Part IX - Expenses'!A4,SOFE!I:I)</f>
        <v>0</v>
      </c>
    </row>
    <row r="5" spans="1:7" x14ac:dyDescent="0.3">
      <c r="A5" s="38">
        <v>2</v>
      </c>
      <c r="B5" s="73" t="s">
        <v>146</v>
      </c>
      <c r="C5" s="42">
        <f t="shared" ref="C5:C32" si="0">SUM(D5:F5)</f>
        <v>6682083</v>
      </c>
      <c r="D5" s="43">
        <f>+SUMIF(SOFE!$J:$J,'Part IX - Expenses'!$A5,SOFE!E:E)</f>
        <v>6682083</v>
      </c>
      <c r="E5" s="46"/>
      <c r="F5" s="46"/>
      <c r="G5" s="197">
        <f>+SUMIF(SOFE!K:K,'Part IX - Expenses'!A5,SOFE!I:I)</f>
        <v>2346370</v>
      </c>
    </row>
    <row r="6" spans="1:7" x14ac:dyDescent="0.3">
      <c r="A6" s="38">
        <v>3</v>
      </c>
      <c r="B6" s="73" t="s">
        <v>147</v>
      </c>
      <c r="C6" s="42">
        <f t="shared" si="0"/>
        <v>0</v>
      </c>
      <c r="D6" s="43">
        <f>+SUMIF(SOFE!$J:$J,'Part IX - Expenses'!$A6,SOFE!E:E)</f>
        <v>0</v>
      </c>
      <c r="E6" s="46"/>
      <c r="F6" s="46"/>
      <c r="G6" s="197">
        <f>+SUMIF(SOFE!K:K,'Part IX - Expenses'!A6,SOFE!I:I)</f>
        <v>0</v>
      </c>
    </row>
    <row r="7" spans="1:7" x14ac:dyDescent="0.3">
      <c r="A7" s="38">
        <v>4</v>
      </c>
      <c r="B7" s="73" t="s">
        <v>148</v>
      </c>
      <c r="C7" s="42">
        <f t="shared" si="0"/>
        <v>0</v>
      </c>
      <c r="D7" s="43">
        <f>+SUMIF(SOFE!$J:$J,'Part IX - Expenses'!$A7,SOFE!E:E)</f>
        <v>0</v>
      </c>
      <c r="E7" s="46"/>
      <c r="F7" s="46"/>
      <c r="G7" s="197">
        <f>+SUMIF(SOFE!K:K,'Part IX - Expenses'!A7,SOFE!I:I)</f>
        <v>0</v>
      </c>
    </row>
    <row r="8" spans="1:7" x14ac:dyDescent="0.3">
      <c r="A8" s="38">
        <v>5</v>
      </c>
      <c r="B8" s="73" t="s">
        <v>149</v>
      </c>
      <c r="C8" s="42">
        <f t="shared" si="0"/>
        <v>222753.79</v>
      </c>
      <c r="D8" s="43">
        <f>+SUMIF(SOFE!$J:$J,'Part IX - Expenses'!$A8,SOFE!E:E)</f>
        <v>186012.9288936478</v>
      </c>
      <c r="E8" s="43">
        <f>+SUMIF(SOFE!$J:$J,'Part IX - Expenses'!$A8,SOFE!F:F)</f>
        <v>24663.457537158207</v>
      </c>
      <c r="F8" s="43">
        <f>+SUMIF(SOFE!$J:$J,'Part IX - Expenses'!$A8,SOFE!G:G)</f>
        <v>12077.403569193984</v>
      </c>
      <c r="G8" s="197">
        <f>+SUMIF(SOFE!K:K,'Part IX - Expenses'!A8,SOFE!I:I)</f>
        <v>330716</v>
      </c>
    </row>
    <row r="9" spans="1:7" x14ac:dyDescent="0.3">
      <c r="A9" s="38">
        <v>6</v>
      </c>
      <c r="B9" s="73" t="s">
        <v>150</v>
      </c>
      <c r="C9" s="42">
        <f t="shared" si="0"/>
        <v>0</v>
      </c>
      <c r="D9" s="43">
        <f>+SUMIF(SOFE!$J:$J,'Part IX - Expenses'!$A9,SOFE!E:E)</f>
        <v>0</v>
      </c>
      <c r="E9" s="43">
        <f>+SUMIF(SOFE!$J:$J,'Part IX - Expenses'!$A9,SOFE!F:F)</f>
        <v>0</v>
      </c>
      <c r="F9" s="43">
        <f>+SUMIF(SOFE!$J:$J,'Part IX - Expenses'!$A9,SOFE!G:G)</f>
        <v>0</v>
      </c>
      <c r="G9" s="197">
        <f>+SUMIF(SOFE!K:K,'Part IX - Expenses'!A9,SOFE!I:I)</f>
        <v>0</v>
      </c>
    </row>
    <row r="10" spans="1:7" x14ac:dyDescent="0.3">
      <c r="A10" s="38">
        <v>7</v>
      </c>
      <c r="B10" s="73" t="s">
        <v>151</v>
      </c>
      <c r="C10" s="42">
        <f t="shared" si="0"/>
        <v>3192052.1599999997</v>
      </c>
      <c r="D10" s="43">
        <f>+SUMIF(SOFE!$J:$J,'Part IX - Expenses'!$A10,SOFE!E:E)</f>
        <v>2669445.2030353011</v>
      </c>
      <c r="E10" s="43">
        <f>+SUMIF(SOFE!$J:$J,'Part IX - Expenses'!$A10,SOFE!F:F)</f>
        <v>332455.68964183115</v>
      </c>
      <c r="F10" s="43">
        <f>+SUMIF(SOFE!$J:$J,'Part IX - Expenses'!$A10,SOFE!G:G)</f>
        <v>190151.26732286782</v>
      </c>
      <c r="G10" s="197">
        <f>+SUMIF(SOFE!K:K,'Part IX - Expenses'!A10,SOFE!I:I)</f>
        <v>2245736</v>
      </c>
    </row>
    <row r="11" spans="1:7" x14ac:dyDescent="0.3">
      <c r="A11" s="38">
        <v>8</v>
      </c>
      <c r="B11" s="73" t="s">
        <v>152</v>
      </c>
      <c r="C11" s="42">
        <f t="shared" si="0"/>
        <v>83460.25</v>
      </c>
      <c r="D11" s="43">
        <f>+SUMIF(SOFE!$J:$J,'Part IX - Expenses'!$A11,SOFE!E:E)</f>
        <v>69453.697423931575</v>
      </c>
      <c r="E11" s="43">
        <f>+SUMIF(SOFE!$J:$J,'Part IX - Expenses'!$A11,SOFE!F:F)</f>
        <v>12373.590506510211</v>
      </c>
      <c r="F11" s="43">
        <f>+SUMIF(SOFE!$J:$J,'Part IX - Expenses'!$A11,SOFE!G:G)</f>
        <v>1632.9620695582159</v>
      </c>
      <c r="G11" s="197">
        <f>+SUMIF(SOFE!K:K,'Part IX - Expenses'!A11,SOFE!I:I)</f>
        <v>15873</v>
      </c>
    </row>
    <row r="12" spans="1:7" x14ac:dyDescent="0.3">
      <c r="A12" s="38">
        <v>9</v>
      </c>
      <c r="B12" s="73" t="s">
        <v>153</v>
      </c>
      <c r="C12" s="42">
        <f t="shared" si="0"/>
        <v>430582.8</v>
      </c>
      <c r="D12" s="43">
        <f>+SUMIF(SOFE!$J:$J,'Part IX - Expenses'!$A12,SOFE!E:E)</f>
        <v>356024.9406471196</v>
      </c>
      <c r="E12" s="43">
        <f>+SUMIF(SOFE!$J:$J,'Part IX - Expenses'!$A12,SOFE!F:F)</f>
        <v>63164.2423145004</v>
      </c>
      <c r="F12" s="43">
        <f>+SUMIF(SOFE!$J:$J,'Part IX - Expenses'!$A12,SOFE!G:G)</f>
        <v>11393.617038379987</v>
      </c>
      <c r="G12" s="197">
        <f>+SUMIF(SOFE!K:K,'Part IX - Expenses'!A12,SOFE!I:I)</f>
        <v>225403</v>
      </c>
    </row>
    <row r="13" spans="1:7" x14ac:dyDescent="0.3">
      <c r="A13" s="38">
        <v>10</v>
      </c>
      <c r="B13" s="73" t="s">
        <v>154</v>
      </c>
      <c r="C13" s="42">
        <f t="shared" si="0"/>
        <v>272241</v>
      </c>
      <c r="D13" s="43">
        <f>+SUMIF(SOFE!$J:$J,'Part IX - Expenses'!$A13,SOFE!E:E)</f>
        <v>252343</v>
      </c>
      <c r="E13" s="43">
        <f>+SUMIF(SOFE!$J:$J,'Part IX - Expenses'!$A13,SOFE!F:F)</f>
        <v>12636</v>
      </c>
      <c r="F13" s="43">
        <f>+SUMIF(SOFE!$J:$J,'Part IX - Expenses'!$A13,SOFE!G:G)</f>
        <v>7262</v>
      </c>
      <c r="G13" s="197">
        <f>+SUMIF(SOFE!K:K,'Part IX - Expenses'!A13,SOFE!I:I)</f>
        <v>197666</v>
      </c>
    </row>
    <row r="14" spans="1:7" x14ac:dyDescent="0.3">
      <c r="A14" s="38" t="s">
        <v>133</v>
      </c>
      <c r="B14" s="73" t="s">
        <v>143</v>
      </c>
      <c r="C14" s="42">
        <f t="shared" si="0"/>
        <v>0</v>
      </c>
      <c r="D14" s="43">
        <f>+SUMIF(SOFE!$J:$J,'Part IX - Expenses'!$A14,SOFE!E:E)</f>
        <v>0</v>
      </c>
      <c r="E14" s="43">
        <f>+SUMIF(SOFE!$J:$J,'Part IX - Expenses'!$A14,SOFE!F:F)</f>
        <v>0</v>
      </c>
      <c r="F14" s="43">
        <f>+SUMIF(SOFE!$J:$J,'Part IX - Expenses'!$A14,SOFE!G:G)</f>
        <v>0</v>
      </c>
      <c r="G14" s="197">
        <f>+SUMIF(SOFE!K:K,'Part IX - Expenses'!A14,SOFE!I:I)</f>
        <v>0</v>
      </c>
    </row>
    <row r="15" spans="1:7" x14ac:dyDescent="0.3">
      <c r="A15" s="38" t="s">
        <v>134</v>
      </c>
      <c r="B15" s="73" t="s">
        <v>155</v>
      </c>
      <c r="C15" s="42">
        <f t="shared" si="0"/>
        <v>64263</v>
      </c>
      <c r="D15" s="43">
        <f>+SUMIF(SOFE!$J:$J,'Part IX - Expenses'!$A15,SOFE!E:E)</f>
        <v>60483</v>
      </c>
      <c r="E15" s="43">
        <f>+SUMIF(SOFE!$J:$J,'Part IX - Expenses'!$A15,SOFE!F:F)</f>
        <v>3780</v>
      </c>
      <c r="F15" s="43">
        <f>+SUMIF(SOFE!$J:$J,'Part IX - Expenses'!$A15,SOFE!G:G)</f>
        <v>0</v>
      </c>
      <c r="G15" s="197">
        <f>+SUMIF(SOFE!K:K,'Part IX - Expenses'!A15,SOFE!I:I)</f>
        <v>29969.5</v>
      </c>
    </row>
    <row r="16" spans="1:7" x14ac:dyDescent="0.3">
      <c r="A16" s="38" t="s">
        <v>135</v>
      </c>
      <c r="B16" s="73" t="s">
        <v>156</v>
      </c>
      <c r="C16" s="42">
        <f t="shared" si="0"/>
        <v>307745</v>
      </c>
      <c r="D16" s="43">
        <f>+SUMIF(SOFE!$J:$J,'Part IX - Expenses'!$A16,SOFE!E:E)</f>
        <v>9990.3297862439122</v>
      </c>
      <c r="E16" s="43">
        <f>+SUMIF(SOFE!$J:$J,'Part IX - Expenses'!$A16,SOFE!F:F)</f>
        <v>287545.31334346789</v>
      </c>
      <c r="F16" s="43">
        <f>+SUMIF(SOFE!$J:$J,'Part IX - Expenses'!$A16,SOFE!G:G)</f>
        <v>10209.356870288215</v>
      </c>
      <c r="G16" s="197">
        <f>+SUMIF(SOFE!K:K,'Part IX - Expenses'!A16,SOFE!I:I)</f>
        <v>150800</v>
      </c>
    </row>
    <row r="17" spans="1:7" x14ac:dyDescent="0.3">
      <c r="A17" s="38" t="s">
        <v>136</v>
      </c>
      <c r="B17" s="73" t="s">
        <v>157</v>
      </c>
      <c r="C17" s="42">
        <f t="shared" si="0"/>
        <v>0</v>
      </c>
      <c r="D17" s="43">
        <f>+SUMIF(SOFE!$J:$J,'Part IX - Expenses'!$A17,SOFE!E:E)</f>
        <v>0</v>
      </c>
      <c r="E17" s="43">
        <f>+SUMIF(SOFE!$J:$J,'Part IX - Expenses'!$A17,SOFE!F:F)</f>
        <v>0</v>
      </c>
      <c r="F17" s="43">
        <f>+SUMIF(SOFE!$J:$J,'Part IX - Expenses'!$A17,SOFE!G:G)</f>
        <v>0</v>
      </c>
      <c r="G17" s="197">
        <f>+SUMIF(SOFE!K:K,'Part IX - Expenses'!A17,SOFE!I:I)</f>
        <v>0</v>
      </c>
    </row>
    <row r="18" spans="1:7" x14ac:dyDescent="0.3">
      <c r="A18" s="38" t="s">
        <v>138</v>
      </c>
      <c r="B18" s="73" t="s">
        <v>158</v>
      </c>
      <c r="C18" s="42">
        <f t="shared" si="0"/>
        <v>0</v>
      </c>
      <c r="D18" s="46"/>
      <c r="E18" s="46"/>
      <c r="F18" s="43">
        <f>+SUMIF(SOFE!$J:$J,'Part IX - Expenses'!$A18,SOFE!G:G)</f>
        <v>0</v>
      </c>
      <c r="G18" s="197">
        <f>+SUMIF(SOFE!K:K,'Part IX - Expenses'!A18,SOFE!I:I)</f>
        <v>0</v>
      </c>
    </row>
    <row r="19" spans="1:7" x14ac:dyDescent="0.3">
      <c r="A19" s="38" t="s">
        <v>159</v>
      </c>
      <c r="B19" s="73" t="s">
        <v>160</v>
      </c>
      <c r="C19" s="42">
        <f t="shared" si="0"/>
        <v>2166.9999999999995</v>
      </c>
      <c r="D19" s="43">
        <f>+SUMIF(SOFE!$J:$J,'Part IX - Expenses'!$A19,SOFE!E:E)</f>
        <v>77.953684933423204</v>
      </c>
      <c r="E19" s="43">
        <f>+SUMIF(SOFE!$J:$J,'Part IX - Expenses'!$A19,SOFE!F:F)</f>
        <v>1187.0230227264053</v>
      </c>
      <c r="F19" s="43">
        <f>+SUMIF(SOFE!$J:$J,'Part IX - Expenses'!$A19,SOFE!G:G)</f>
        <v>902.02329234017122</v>
      </c>
      <c r="G19" s="197">
        <f>+SUMIF(SOFE!K:K,'Part IX - Expenses'!A19,SOFE!I:I)</f>
        <v>2070</v>
      </c>
    </row>
    <row r="20" spans="1:7" x14ac:dyDescent="0.3">
      <c r="A20" s="38" t="s">
        <v>161</v>
      </c>
      <c r="B20" s="73" t="s">
        <v>162</v>
      </c>
      <c r="C20" s="42">
        <f t="shared" si="0"/>
        <v>125142.99999999999</v>
      </c>
      <c r="D20" s="43">
        <f>+SUMIF(SOFE!$J:$J,'Part IX - Expenses'!$A20,SOFE!E:E)</f>
        <v>35498.670213756086</v>
      </c>
      <c r="E20" s="43">
        <f>+SUMIF(SOFE!$J:$J,'Part IX - Expenses'!$A20,SOFE!F:F)</f>
        <v>67171.686656532125</v>
      </c>
      <c r="F20" s="43">
        <f>+SUMIF(SOFE!$J:$J,'Part IX - Expenses'!$A20,SOFE!G:G)</f>
        <v>22472.643129711785</v>
      </c>
      <c r="G20" s="197">
        <f>+SUMIF(SOFE!K:K,'Part IX - Expenses'!A20,SOFE!I:I)</f>
        <v>194682.58</v>
      </c>
    </row>
    <row r="21" spans="1:7" x14ac:dyDescent="0.3">
      <c r="A21" s="38">
        <v>12</v>
      </c>
      <c r="B21" s="73" t="s">
        <v>163</v>
      </c>
      <c r="C21" s="42">
        <f t="shared" si="0"/>
        <v>2909</v>
      </c>
      <c r="D21" s="43">
        <f>+SUMIF(SOFE!$J:$J,'Part IX - Expenses'!$A21,SOFE!E:E)</f>
        <v>1650</v>
      </c>
      <c r="E21" s="43">
        <f>+SUMIF(SOFE!$J:$J,'Part IX - Expenses'!$A21,SOFE!F:F)</f>
        <v>1074</v>
      </c>
      <c r="F21" s="43">
        <f>+SUMIF(SOFE!$J:$J,'Part IX - Expenses'!$A21,SOFE!G:G)</f>
        <v>185</v>
      </c>
      <c r="G21" s="197">
        <f>+SUMIF(SOFE!K:K,'Part IX - Expenses'!A21,SOFE!I:I)</f>
        <v>5810</v>
      </c>
    </row>
    <row r="22" spans="1:7" x14ac:dyDescent="0.3">
      <c r="A22" s="38">
        <v>13</v>
      </c>
      <c r="B22" s="73" t="s">
        <v>164</v>
      </c>
      <c r="C22" s="42">
        <f t="shared" si="0"/>
        <v>250596</v>
      </c>
      <c r="D22" s="43">
        <f>+SUMIF(SOFE!$J:$J,'Part IX - Expenses'!$A22,SOFE!E:E)</f>
        <v>135715.04631506657</v>
      </c>
      <c r="E22" s="43">
        <f>+SUMIF(SOFE!$J:$J,'Part IX - Expenses'!$A22,SOFE!F:F)</f>
        <v>92446.976977273589</v>
      </c>
      <c r="F22" s="43">
        <f>+SUMIF(SOFE!$J:$J,'Part IX - Expenses'!$A22,SOFE!G:G)</f>
        <v>22433.976707659829</v>
      </c>
      <c r="G22" s="197">
        <f>+SUMIF(SOFE!K:K,'Part IX - Expenses'!A22,SOFE!I:I)</f>
        <v>137506</v>
      </c>
    </row>
    <row r="23" spans="1:7" x14ac:dyDescent="0.3">
      <c r="A23" s="38">
        <v>14</v>
      </c>
      <c r="B23" s="73" t="s">
        <v>165</v>
      </c>
      <c r="C23" s="42">
        <f t="shared" si="0"/>
        <v>104996</v>
      </c>
      <c r="D23" s="43">
        <f>+SUMIF(SOFE!$J:$J,'Part IX - Expenses'!$A23,SOFE!E:E)</f>
        <v>46484</v>
      </c>
      <c r="E23" s="43">
        <f>+SUMIF(SOFE!$J:$J,'Part IX - Expenses'!$A23,SOFE!F:F)</f>
        <v>56404</v>
      </c>
      <c r="F23" s="43">
        <f>+SUMIF(SOFE!$J:$J,'Part IX - Expenses'!$A23,SOFE!G:G)</f>
        <v>2108</v>
      </c>
      <c r="G23" s="197">
        <f>+SUMIF(SOFE!K:K,'Part IX - Expenses'!A23,SOFE!I:I)</f>
        <v>37237</v>
      </c>
    </row>
    <row r="24" spans="1:7" x14ac:dyDescent="0.3">
      <c r="A24" s="38">
        <v>15</v>
      </c>
      <c r="B24" s="73" t="s">
        <v>94</v>
      </c>
      <c r="C24" s="42">
        <f t="shared" si="0"/>
        <v>0</v>
      </c>
      <c r="D24" s="43">
        <f>+SUMIF(SOFE!$J:$J,'Part IX - Expenses'!$A24,SOFE!E:E)</f>
        <v>0</v>
      </c>
      <c r="E24" s="43">
        <f>+SUMIF(SOFE!$J:$J,'Part IX - Expenses'!$A24,SOFE!F:F)</f>
        <v>0</v>
      </c>
      <c r="F24" s="43">
        <f>+SUMIF(SOFE!$J:$J,'Part IX - Expenses'!$A24,SOFE!G:G)</f>
        <v>0</v>
      </c>
      <c r="G24" s="197">
        <f>+SUMIF(SOFE!K:K,'Part IX - Expenses'!A24,SOFE!I:I)</f>
        <v>0</v>
      </c>
    </row>
    <row r="25" spans="1:7" x14ac:dyDescent="0.3">
      <c r="A25" s="38">
        <v>16</v>
      </c>
      <c r="B25" s="73" t="s">
        <v>166</v>
      </c>
      <c r="C25" s="42">
        <f t="shared" si="0"/>
        <v>84206</v>
      </c>
      <c r="D25" s="43">
        <f>+SUMIF(SOFE!$J:$J,'Part IX - Expenses'!$A25,SOFE!E:E)</f>
        <v>84666</v>
      </c>
      <c r="E25" s="43">
        <f>+SUMIF(SOFE!$J:$J,'Part IX - Expenses'!$A25,SOFE!F:F)</f>
        <v>-2758</v>
      </c>
      <c r="F25" s="43">
        <f>+SUMIF(SOFE!$J:$J,'Part IX - Expenses'!$A25,SOFE!G:G)</f>
        <v>2298</v>
      </c>
      <c r="G25" s="197">
        <f>+SUMIF(SOFE!K:K,'Part IX - Expenses'!A25,SOFE!I:I)</f>
        <v>108136</v>
      </c>
    </row>
    <row r="26" spans="1:7" x14ac:dyDescent="0.3">
      <c r="A26" s="38">
        <v>17</v>
      </c>
      <c r="B26" s="73" t="s">
        <v>167</v>
      </c>
      <c r="C26" s="42">
        <f t="shared" si="0"/>
        <v>15877.14</v>
      </c>
      <c r="D26" s="43">
        <f>+SUMIF(SOFE!$J:$J,'Part IX - Expenses'!$A26,SOFE!E:E)</f>
        <v>15531</v>
      </c>
      <c r="E26" s="43">
        <f>+SUMIF(SOFE!$J:$J,'Part IX - Expenses'!$A26,SOFE!F:F)</f>
        <v>292.14</v>
      </c>
      <c r="F26" s="43">
        <f>+SUMIF(SOFE!$J:$J,'Part IX - Expenses'!$A26,SOFE!G:G)</f>
        <v>54</v>
      </c>
      <c r="G26" s="197">
        <f>+SUMIF(SOFE!K:K,'Part IX - Expenses'!A26,SOFE!I:I)</f>
        <v>8526.18</v>
      </c>
    </row>
    <row r="27" spans="1:7" x14ac:dyDescent="0.3">
      <c r="A27" s="38">
        <v>18</v>
      </c>
      <c r="B27" s="73" t="s">
        <v>168</v>
      </c>
      <c r="C27" s="42">
        <f t="shared" si="0"/>
        <v>0</v>
      </c>
      <c r="D27" s="43">
        <f>+SUMIF(SOFE!$J:$J,'Part IX - Expenses'!$A27,SOFE!E:E)</f>
        <v>0</v>
      </c>
      <c r="E27" s="43">
        <f>+SUMIF(SOFE!$J:$J,'Part IX - Expenses'!$A27,SOFE!F:F)</f>
        <v>0</v>
      </c>
      <c r="F27" s="43">
        <f>+SUMIF(SOFE!$J:$J,'Part IX - Expenses'!$A27,SOFE!G:G)</f>
        <v>0</v>
      </c>
      <c r="G27" s="197">
        <f>+SUMIF(SOFE!K:K,'Part IX - Expenses'!A27,SOFE!I:I)</f>
        <v>0</v>
      </c>
    </row>
    <row r="28" spans="1:7" x14ac:dyDescent="0.3">
      <c r="A28" s="38">
        <v>19</v>
      </c>
      <c r="B28" s="73" t="s">
        <v>169</v>
      </c>
      <c r="C28" s="42">
        <f t="shared" si="0"/>
        <v>30788.27</v>
      </c>
      <c r="D28" s="43">
        <f>+SUMIF(SOFE!$J:$J,'Part IX - Expenses'!$A28,SOFE!E:E)</f>
        <v>8554.1</v>
      </c>
      <c r="E28" s="43">
        <f>+SUMIF(SOFE!$J:$J,'Part IX - Expenses'!$A28,SOFE!F:F)</f>
        <v>12479.17</v>
      </c>
      <c r="F28" s="43">
        <f>+SUMIF(SOFE!$J:$J,'Part IX - Expenses'!$A28,SOFE!G:G)</f>
        <v>9755</v>
      </c>
      <c r="G28" s="197">
        <f>+SUMIF(SOFE!K:K,'Part IX - Expenses'!A28,SOFE!I:I)</f>
        <v>11590.21</v>
      </c>
    </row>
    <row r="29" spans="1:7" x14ac:dyDescent="0.3">
      <c r="A29" s="38">
        <v>20</v>
      </c>
      <c r="B29" s="73" t="s">
        <v>170</v>
      </c>
      <c r="C29" s="42">
        <f t="shared" si="0"/>
        <v>16850</v>
      </c>
      <c r="D29" s="43">
        <f>+SUMIF(SOFE!$J:$J,'Part IX - Expenses'!$A29,SOFE!E:E)</f>
        <v>15014</v>
      </c>
      <c r="E29" s="43">
        <f>+SUMIF(SOFE!$J:$J,'Part IX - Expenses'!$A29,SOFE!F:F)</f>
        <v>1391</v>
      </c>
      <c r="F29" s="43">
        <f>+SUMIF(SOFE!$J:$J,'Part IX - Expenses'!$A29,SOFE!G:G)</f>
        <v>445</v>
      </c>
      <c r="G29" s="197">
        <f>+SUMIF(SOFE!K:K,'Part IX - Expenses'!A29,SOFE!I:I)</f>
        <v>2345</v>
      </c>
    </row>
    <row r="30" spans="1:7" x14ac:dyDescent="0.3">
      <c r="A30" s="38">
        <v>21</v>
      </c>
      <c r="B30" s="73" t="s">
        <v>171</v>
      </c>
      <c r="C30" s="42">
        <f t="shared" si="0"/>
        <v>0</v>
      </c>
      <c r="D30" s="43">
        <f>+SUMIF(SOFE!$J:$J,'Part IX - Expenses'!$A30,SOFE!E:E)</f>
        <v>0</v>
      </c>
      <c r="E30" s="43">
        <f>+SUMIF(SOFE!$J:$J,'Part IX - Expenses'!$A30,SOFE!F:F)</f>
        <v>0</v>
      </c>
      <c r="F30" s="43">
        <f>+SUMIF(SOFE!$J:$J,'Part IX - Expenses'!$A30,SOFE!G:G)</f>
        <v>0</v>
      </c>
      <c r="G30" s="197">
        <f>+SUMIF(SOFE!K:K,'Part IX - Expenses'!A30,SOFE!I:I)</f>
        <v>0</v>
      </c>
    </row>
    <row r="31" spans="1:7" x14ac:dyDescent="0.3">
      <c r="A31" s="38">
        <v>22</v>
      </c>
      <c r="B31" s="73" t="s">
        <v>172</v>
      </c>
      <c r="C31" s="42">
        <f t="shared" si="0"/>
        <v>183313</v>
      </c>
      <c r="D31" s="43">
        <f>+SUMIF(SOFE!$J:$J,'Part IX - Expenses'!$A31,SOFE!E:E)</f>
        <v>160413</v>
      </c>
      <c r="E31" s="43">
        <f>+SUMIF(SOFE!$J:$J,'Part IX - Expenses'!$A31,SOFE!F:F)</f>
        <v>18147</v>
      </c>
      <c r="F31" s="43">
        <f>+SUMIF(SOFE!$J:$J,'Part IX - Expenses'!$A31,SOFE!G:G)</f>
        <v>4753</v>
      </c>
      <c r="G31" s="197">
        <f>+SUMIF(SOFE!K:K,'Part IX - Expenses'!A31,SOFE!I:I)</f>
        <v>29684</v>
      </c>
    </row>
    <row r="32" spans="1:7" x14ac:dyDescent="0.3">
      <c r="A32" s="38">
        <v>23</v>
      </c>
      <c r="B32" s="73" t="s">
        <v>173</v>
      </c>
      <c r="C32" s="42">
        <f t="shared" si="0"/>
        <v>9450</v>
      </c>
      <c r="D32" s="43">
        <f>+SUMIF(SOFE!$J:$J,'Part IX - Expenses'!$A32,SOFE!E:E)</f>
        <v>7992</v>
      </c>
      <c r="E32" s="43">
        <f>+SUMIF(SOFE!$J:$J,'Part IX - Expenses'!$A32,SOFE!F:F)</f>
        <v>882</v>
      </c>
      <c r="F32" s="43">
        <f>+SUMIF(SOFE!$J:$J,'Part IX - Expenses'!$A32,SOFE!G:G)</f>
        <v>576</v>
      </c>
      <c r="G32" s="197">
        <f>+SUMIF(SOFE!K:K,'Part IX - Expenses'!A32,SOFE!I:I)</f>
        <v>8374</v>
      </c>
    </row>
    <row r="33" spans="1:7" ht="28.8" x14ac:dyDescent="0.3">
      <c r="A33" s="74">
        <v>24</v>
      </c>
      <c r="B33" s="75" t="s">
        <v>174</v>
      </c>
      <c r="C33" s="46"/>
      <c r="D33" s="46"/>
      <c r="E33" s="46"/>
      <c r="F33" s="46"/>
      <c r="G33" s="197">
        <f>+SUMIF(SOFE!K:K,'Part IX - Expenses'!A33,SOFE!I:I)</f>
        <v>0</v>
      </c>
    </row>
    <row r="34" spans="1:7" x14ac:dyDescent="0.3">
      <c r="A34" s="38" t="s">
        <v>175</v>
      </c>
      <c r="B34" s="73" t="str">
        <f>IFERROR(INDEX(SOFE!$A:$J,MATCH('Part IX - Expenses'!A34,SOFE!$J:$J,0),1),"")</f>
        <v>Other Grants</v>
      </c>
      <c r="C34" s="42">
        <f t="shared" ref="C34:C38" si="1">SUM(D34:F34)</f>
        <v>1586</v>
      </c>
      <c r="D34" s="43">
        <f>+SUMIF(SOFE!$J:$J,'Part IX - Expenses'!$A34,SOFE!E:E)</f>
        <v>0</v>
      </c>
      <c r="E34" s="43">
        <f>+SUMIF(SOFE!$J:$J,'Part IX - Expenses'!$A34,SOFE!F:F)</f>
        <v>1586</v>
      </c>
      <c r="F34" s="43">
        <f>+SUMIF(SOFE!$J:$J,'Part IX - Expenses'!$A34,SOFE!G:G)</f>
        <v>0</v>
      </c>
      <c r="G34" s="197">
        <f>+SUMIF(SOFE!K:K,'Part IX - Expenses'!A34,SOFE!I:I)</f>
        <v>66193</v>
      </c>
    </row>
    <row r="35" spans="1:7" x14ac:dyDescent="0.3">
      <c r="A35" s="38" t="s">
        <v>176</v>
      </c>
      <c r="B35" s="73" t="str">
        <f>IFERROR(INDEX(SOFE!$A:$J,MATCH('Part IX - Expenses'!A35,SOFE!$J:$J,0),1),"")</f>
        <v/>
      </c>
      <c r="C35" s="42">
        <f t="shared" si="1"/>
        <v>0</v>
      </c>
      <c r="D35" s="43">
        <f>+SUMIF(SOFE!$J:$J,'Part IX - Expenses'!$A35,SOFE!E:E)</f>
        <v>0</v>
      </c>
      <c r="E35" s="43">
        <f>+SUMIF(SOFE!$J:$J,'Part IX - Expenses'!$A35,SOFE!F:F)</f>
        <v>0</v>
      </c>
      <c r="F35" s="43">
        <f>+SUMIF(SOFE!$J:$J,'Part IX - Expenses'!$A35,SOFE!G:G)</f>
        <v>0</v>
      </c>
      <c r="G35" s="197">
        <f>+SUMIF(SOFE!K:K,'Part IX - Expenses'!A35,SOFE!I:I)</f>
        <v>0</v>
      </c>
    </row>
    <row r="36" spans="1:7" x14ac:dyDescent="0.3">
      <c r="A36" s="38" t="s">
        <v>177</v>
      </c>
      <c r="B36" s="73" t="str">
        <f>IFERROR(INDEX(SOFE!$A:$J,MATCH('Part IX - Expenses'!A36,SOFE!$J:$J,0),1),"")</f>
        <v/>
      </c>
      <c r="C36" s="42">
        <f t="shared" si="1"/>
        <v>0</v>
      </c>
      <c r="D36" s="43">
        <f>+SUMIF(SOFE!$J:$J,'Part IX - Expenses'!$A36,SOFE!E:E)</f>
        <v>0</v>
      </c>
      <c r="E36" s="43">
        <f>+SUMIF(SOFE!$J:$J,'Part IX - Expenses'!$A36,SOFE!F:F)</f>
        <v>0</v>
      </c>
      <c r="F36" s="43">
        <f>+SUMIF(SOFE!$J:$J,'Part IX - Expenses'!$A36,SOFE!G:G)</f>
        <v>0</v>
      </c>
      <c r="G36" s="197">
        <f>+SUMIF(SOFE!K:K,'Part IX - Expenses'!A36,SOFE!I:I)</f>
        <v>0</v>
      </c>
    </row>
    <row r="37" spans="1:7" x14ac:dyDescent="0.3">
      <c r="A37" s="38" t="s">
        <v>178</v>
      </c>
      <c r="B37" s="73" t="str">
        <f>IFERROR(INDEX(SOFE!$A:$J,MATCH('Part IX - Expenses'!A37,SOFE!$J:$J,0),1),"")</f>
        <v/>
      </c>
      <c r="C37" s="42">
        <f t="shared" si="1"/>
        <v>0</v>
      </c>
      <c r="D37" s="43">
        <f>+SUMIF(SOFE!$J:$J,'Part IX - Expenses'!$A37,SOFE!E:E)</f>
        <v>0</v>
      </c>
      <c r="E37" s="43">
        <f>+SUMIF(SOFE!$J:$J,'Part IX - Expenses'!$A37,SOFE!F:F)</f>
        <v>0</v>
      </c>
      <c r="F37" s="43">
        <f>+SUMIF(SOFE!$J:$J,'Part IX - Expenses'!$A37,SOFE!G:G)</f>
        <v>0</v>
      </c>
      <c r="G37" s="227">
        <f>+SUMIF(SOFE!K:K,'Part IX - Expenses'!A37,SOFE!I:I)</f>
        <v>0</v>
      </c>
    </row>
    <row r="38" spans="1:7" x14ac:dyDescent="0.3">
      <c r="A38" s="165" t="s">
        <v>179</v>
      </c>
      <c r="B38" s="166" t="s">
        <v>180</v>
      </c>
      <c r="C38" s="167">
        <f t="shared" si="1"/>
        <v>0</v>
      </c>
      <c r="D38" s="162">
        <f>+SUMIF(SOFE!$J:$J,'Part IX - Expenses'!$A38,SOFE!E:E)</f>
        <v>0</v>
      </c>
      <c r="E38" s="162">
        <f>+SUMIF(SOFE!$J:$J,'Part IX - Expenses'!$A38,SOFE!F:F)</f>
        <v>0</v>
      </c>
      <c r="F38" s="162">
        <f>+SUMIF(SOFE!$J:$J,'Part IX - Expenses'!$A38,SOFE!G:G)</f>
        <v>0</v>
      </c>
      <c r="G38" s="227">
        <f>+SUMIF(SOFE!K:K,'Part IX - Expenses'!A38,SOFE!I:I)</f>
        <v>0</v>
      </c>
    </row>
    <row r="39" spans="1:7" s="47" customFormat="1" ht="15.6" x14ac:dyDescent="0.3">
      <c r="A39" s="168">
        <v>25</v>
      </c>
      <c r="B39" s="169" t="s">
        <v>181</v>
      </c>
      <c r="C39" s="228">
        <f>SUM(C4:C38)</f>
        <v>12083062.41</v>
      </c>
      <c r="D39" s="228">
        <f t="shared" ref="D39:G39" si="2">SUM(D4:D38)</f>
        <v>10797431.869999999</v>
      </c>
      <c r="E39" s="228">
        <f t="shared" si="2"/>
        <v>986921.29</v>
      </c>
      <c r="F39" s="228">
        <f t="shared" si="2"/>
        <v>298709.25</v>
      </c>
      <c r="G39" s="200">
        <f t="shared" si="2"/>
        <v>6154687.4699999997</v>
      </c>
    </row>
    <row r="40" spans="1:7" x14ac:dyDescent="0.3">
      <c r="A40" s="52"/>
      <c r="C40" s="53"/>
      <c r="D40" s="53"/>
      <c r="E40" s="53"/>
      <c r="F40" s="53"/>
    </row>
    <row r="41" spans="1:7" x14ac:dyDescent="0.3">
      <c r="B41" s="49"/>
      <c r="C41" s="49"/>
      <c r="D41" s="49"/>
      <c r="E41" s="49"/>
      <c r="F41" s="49"/>
    </row>
    <row r="42" spans="1:7" x14ac:dyDescent="0.3">
      <c r="B42" s="49"/>
      <c r="C42" s="59"/>
      <c r="D42" s="59"/>
      <c r="E42" s="59"/>
      <c r="F42" s="49"/>
    </row>
    <row r="43" spans="1:7" x14ac:dyDescent="0.3">
      <c r="B43" s="49"/>
      <c r="C43" s="49"/>
      <c r="D43" s="49"/>
      <c r="E43" s="49"/>
      <c r="F43" s="49"/>
    </row>
    <row r="44" spans="1:7" x14ac:dyDescent="0.3">
      <c r="B44" s="49"/>
      <c r="C44" s="49"/>
      <c r="D44" s="49"/>
      <c r="E44" s="49"/>
      <c r="F44" s="49"/>
    </row>
    <row r="45" spans="1:7" x14ac:dyDescent="0.3">
      <c r="B45" s="49"/>
      <c r="C45" s="49"/>
      <c r="D45" s="49"/>
      <c r="E45" s="49"/>
      <c r="F45" s="49"/>
    </row>
    <row r="46" spans="1:7" x14ac:dyDescent="0.3">
      <c r="B46" s="49"/>
      <c r="C46" s="49"/>
      <c r="D46" s="49"/>
      <c r="E46" s="49"/>
      <c r="F46" s="49"/>
    </row>
    <row r="47" spans="1:7" x14ac:dyDescent="0.3">
      <c r="B47" s="49"/>
      <c r="C47" s="49"/>
      <c r="D47" s="49"/>
      <c r="E47" s="49"/>
      <c r="F47" s="49"/>
    </row>
    <row r="48" spans="1:7" x14ac:dyDescent="0.3">
      <c r="B48" s="49"/>
      <c r="C48" s="49"/>
      <c r="D48" s="49"/>
      <c r="E48" s="49"/>
      <c r="F48" s="49"/>
    </row>
    <row r="49" spans="2:6" x14ac:dyDescent="0.3">
      <c r="B49" s="49"/>
      <c r="C49" s="49"/>
      <c r="D49" s="49"/>
      <c r="E49" s="49"/>
      <c r="F49" s="49"/>
    </row>
  </sheetData>
  <sheetProtection algorithmName="SHA-512" hashValue="lwH/HaTOji5Jat+uXIV9c3flr/wrsv8PNgwyl8vWbILWn5FqmO+TyRgAkz+nlYHchej9OCkE3SeWhRMxNwlueA==" saltValue="2GY6zKjjKFJDbknb6ndwOA==" spinCount="100000" sheet="1" objects="1" scenarios="1"/>
  <protectedRanges>
    <protectedRange algorithmName="SHA-512" hashValue="hS5meglzzQfXiokxrcRvZ/70j9EA2LFlR70rnr+dnoaKHGpSpVqI8dEUk2eXfw5e+zhphAlfHcxeWmoi9nV/lQ==" saltValue="vck2XRY50V7vxYAYov52+A==" spinCount="100000" sqref="A1:F39 G39" name="Range1"/>
  </protectedRanges>
  <mergeCells count="1">
    <mergeCell ref="A2:F2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tabColor rgb="FF92D050"/>
  </sheetPr>
  <dimension ref="A1:H42"/>
  <sheetViews>
    <sheetView workbookViewId="0">
      <selection activeCell="E21" sqref="E21"/>
    </sheetView>
  </sheetViews>
  <sheetFormatPr defaultColWidth="9.109375" defaultRowHeight="14.4" x14ac:dyDescent="0.3"/>
  <cols>
    <col min="1" max="1" width="3.44140625" style="49" customWidth="1"/>
    <col min="2" max="2" width="4.6640625" style="101" bestFit="1" customWidth="1"/>
    <col min="3" max="3" width="70.5546875" style="49" customWidth="1"/>
    <col min="4" max="5" width="18.33203125" style="53" customWidth="1"/>
    <col min="6" max="6" width="17.5546875" style="49" bestFit="1" customWidth="1"/>
    <col min="7" max="8" width="13.33203125" style="49" bestFit="1" customWidth="1"/>
    <col min="9" max="16384" width="9.109375" style="49"/>
  </cols>
  <sheetData>
    <row r="1" spans="1:7" ht="15" thickBot="1" x14ac:dyDescent="0.35"/>
    <row r="2" spans="1:7" ht="15" thickBot="1" x14ac:dyDescent="0.35">
      <c r="A2" s="437" t="s">
        <v>182</v>
      </c>
      <c r="B2" s="437"/>
      <c r="C2" s="437"/>
      <c r="D2" s="437"/>
      <c r="E2" s="437"/>
    </row>
    <row r="3" spans="1:7" s="50" customFormat="1" ht="15" thickBot="1" x14ac:dyDescent="0.35">
      <c r="A3" s="130"/>
      <c r="B3" s="65" t="s">
        <v>58</v>
      </c>
      <c r="C3" s="72" t="s">
        <v>59</v>
      </c>
      <c r="D3" s="104" t="s">
        <v>183</v>
      </c>
      <c r="E3" s="104" t="s">
        <v>184</v>
      </c>
    </row>
    <row r="4" spans="1:7" x14ac:dyDescent="0.3">
      <c r="A4" s="436" t="s">
        <v>185</v>
      </c>
      <c r="B4" s="74">
        <v>1</v>
      </c>
      <c r="C4" s="80" t="s">
        <v>186</v>
      </c>
      <c r="D4" s="43">
        <f>+SUMIF(SOFP!$E:$E,'Part X - Balance Sheet'!B4,SOFP!$C:$C)</f>
        <v>809592.71</v>
      </c>
      <c r="E4" s="43">
        <f>+SUMIF(SOFP!$F:$F,'Part X - Balance Sheet'!B4,SOFP!$D:$D)</f>
        <v>1118499</v>
      </c>
    </row>
    <row r="5" spans="1:7" x14ac:dyDescent="0.3">
      <c r="A5" s="436"/>
      <c r="B5" s="74">
        <v>2</v>
      </c>
      <c r="C5" s="80" t="s">
        <v>187</v>
      </c>
      <c r="D5" s="43">
        <f>+SUMIF(SOFP!$E:$E,'Part X - Balance Sheet'!B5,SOFP!$C:$C)</f>
        <v>2070590.29</v>
      </c>
      <c r="E5" s="43">
        <f>+SUMIF(SOFP!$F:$F,'Part X - Balance Sheet'!B5,SOFP!$D:$D)</f>
        <v>0</v>
      </c>
      <c r="G5" s="102"/>
    </row>
    <row r="6" spans="1:7" x14ac:dyDescent="0.3">
      <c r="A6" s="436"/>
      <c r="B6" s="74">
        <v>3</v>
      </c>
      <c r="C6" s="80" t="s">
        <v>188</v>
      </c>
      <c r="D6" s="43">
        <f>+SUMIF(SOFP!$E:$E,'Part X - Balance Sheet'!B6,SOFP!$C:$C)</f>
        <v>1000625</v>
      </c>
      <c r="E6" s="43">
        <f>+SUMIF(SOFP!$F:$F,'Part X - Balance Sheet'!B6,SOFP!$D:$D)</f>
        <v>2599240</v>
      </c>
    </row>
    <row r="7" spans="1:7" x14ac:dyDescent="0.3">
      <c r="A7" s="436"/>
      <c r="B7" s="74">
        <v>4</v>
      </c>
      <c r="C7" s="80" t="s">
        <v>189</v>
      </c>
      <c r="D7" s="43">
        <f>+SUMIF(SOFP!$E:$E,'Part X - Balance Sheet'!B7,SOFP!$C:$C)</f>
        <v>3706</v>
      </c>
      <c r="E7" s="43">
        <f>+SUMIF(SOFP!$F:$F,'Part X - Balance Sheet'!B7,SOFP!$D:$D)</f>
        <v>0</v>
      </c>
    </row>
    <row r="8" spans="1:7" ht="43.2" x14ac:dyDescent="0.3">
      <c r="A8" s="436"/>
      <c r="B8" s="74">
        <v>5</v>
      </c>
      <c r="C8" s="105" t="s">
        <v>190</v>
      </c>
      <c r="D8" s="43">
        <f>+SUMIF(SOFP!$E:$E,'Part X - Balance Sheet'!B8,SOFP!$C:$C)</f>
        <v>0</v>
      </c>
      <c r="E8" s="43">
        <f>+SUMIF(SOFP!$F:$F,'Part X - Balance Sheet'!B8,SOFP!$D:$D)</f>
        <v>0</v>
      </c>
    </row>
    <row r="9" spans="1:7" x14ac:dyDescent="0.3">
      <c r="A9" s="436"/>
      <c r="B9" s="74">
        <v>6</v>
      </c>
      <c r="C9" s="80" t="s">
        <v>191</v>
      </c>
      <c r="D9" s="43">
        <f>+SUMIF(SOFP!$E:$E,'Part X - Balance Sheet'!B9,SOFP!$C:$C)</f>
        <v>0</v>
      </c>
      <c r="E9" s="43">
        <f>+SUMIF(SOFP!$F:$F,'Part X - Balance Sheet'!B9,SOFP!$D:$D)</f>
        <v>0</v>
      </c>
    </row>
    <row r="10" spans="1:7" x14ac:dyDescent="0.3">
      <c r="A10" s="436"/>
      <c r="B10" s="74">
        <v>7</v>
      </c>
      <c r="C10" s="80" t="s">
        <v>192</v>
      </c>
      <c r="D10" s="43">
        <f>+SUMIF(SOFP!$E:$E,'Part X - Balance Sheet'!B10,SOFP!$C:$C)</f>
        <v>0</v>
      </c>
      <c r="E10" s="43">
        <f>+SUMIF(SOFP!$F:$F,'Part X - Balance Sheet'!B10,SOFP!$D:$D)</f>
        <v>0</v>
      </c>
    </row>
    <row r="11" spans="1:7" x14ac:dyDescent="0.3">
      <c r="A11" s="436"/>
      <c r="B11" s="74">
        <v>8</v>
      </c>
      <c r="C11" s="80" t="s">
        <v>193</v>
      </c>
      <c r="D11" s="43">
        <f>+SUMIF(SOFP!$E:$E,'Part X - Balance Sheet'!B11,SOFP!$C:$C)</f>
        <v>3210</v>
      </c>
      <c r="E11" s="43">
        <f>+SUMIF(SOFP!$F:$F,'Part X - Balance Sheet'!B11,SOFP!$D:$D)</f>
        <v>2361</v>
      </c>
    </row>
    <row r="12" spans="1:7" x14ac:dyDescent="0.3">
      <c r="A12" s="436"/>
      <c r="B12" s="74">
        <v>9</v>
      </c>
      <c r="C12" s="80" t="s">
        <v>194</v>
      </c>
      <c r="D12" s="43">
        <f>+SUMIF(SOFP!$E:$E,'Part X - Balance Sheet'!B12,SOFP!$C:$C)</f>
        <v>63626</v>
      </c>
      <c r="E12" s="43">
        <f>+SUMIF(SOFP!$F:$F,'Part X - Balance Sheet'!B12,SOFP!$D:$D)</f>
        <v>45259</v>
      </c>
    </row>
    <row r="13" spans="1:7" x14ac:dyDescent="0.3">
      <c r="A13" s="436"/>
      <c r="B13" s="74" t="s">
        <v>126</v>
      </c>
      <c r="C13" s="80" t="s">
        <v>195</v>
      </c>
      <c r="D13" s="43">
        <f>+SUMIF(SOFP!$E:$E,'Part X - Balance Sheet'!B13,SOFP!$C:$C)</f>
        <v>40391</v>
      </c>
      <c r="E13" s="43">
        <f>+SUMIF(SOFP!$F:$F,'Part X - Balance Sheet'!B13,SOFP!$D:$D)</f>
        <v>40391</v>
      </c>
      <c r="F13" s="102"/>
      <c r="G13" s="61"/>
    </row>
    <row r="14" spans="1:7" x14ac:dyDescent="0.3">
      <c r="A14" s="436"/>
      <c r="B14" s="74" t="s">
        <v>128</v>
      </c>
      <c r="C14" s="80" t="s">
        <v>196</v>
      </c>
      <c r="D14" s="43">
        <f>+SUMIF(SOFP!$E:$E,'Part X - Balance Sheet'!B14,SOFP!$C:$C)</f>
        <v>30667</v>
      </c>
      <c r="E14" s="43">
        <f>+SUMIF(SOFP!$F:$F,'Part X - Balance Sheet'!B14,SOFP!$D:$D)</f>
        <v>33952</v>
      </c>
      <c r="G14" s="59"/>
    </row>
    <row r="15" spans="1:7" x14ac:dyDescent="0.3">
      <c r="A15" s="436"/>
      <c r="B15" s="74"/>
      <c r="C15" s="80" t="s">
        <v>197</v>
      </c>
      <c r="D15" s="42">
        <f>+D13-D14</f>
        <v>9724</v>
      </c>
      <c r="E15" s="42">
        <f>+E13-E14</f>
        <v>6439</v>
      </c>
    </row>
    <row r="16" spans="1:7" x14ac:dyDescent="0.3">
      <c r="A16" s="436"/>
      <c r="B16" s="74">
        <v>11</v>
      </c>
      <c r="C16" s="80" t="s">
        <v>198</v>
      </c>
      <c r="D16" s="43">
        <f>+SUMIF(SOFP!$E:$E,'Part X - Balance Sheet'!B16,SOFP!$C:$C)</f>
        <v>0</v>
      </c>
      <c r="E16" s="43">
        <f>+SUMIF(SOFP!$F:$F,'Part X - Balance Sheet'!B16,SOFP!$D:$D)</f>
        <v>0</v>
      </c>
    </row>
    <row r="17" spans="1:8" x14ac:dyDescent="0.3">
      <c r="A17" s="436"/>
      <c r="B17" s="74">
        <v>12</v>
      </c>
      <c r="C17" s="80" t="s">
        <v>199</v>
      </c>
      <c r="D17" s="43">
        <f>+SUMIF(SOFP!$E:$E,'Part X - Balance Sheet'!B17,SOFP!$C:$C)</f>
        <v>412460</v>
      </c>
      <c r="E17" s="43">
        <f>+SUMIF(SOFP!$F:$F,'Part X - Balance Sheet'!B17,SOFP!$D:$D)</f>
        <v>975077</v>
      </c>
    </row>
    <row r="18" spans="1:8" x14ac:dyDescent="0.3">
      <c r="A18" s="436"/>
      <c r="B18" s="74">
        <v>13</v>
      </c>
      <c r="C18" s="80" t="s">
        <v>200</v>
      </c>
      <c r="D18" s="43">
        <f>+SUMIF(SOFP!$E:$E,'Part X - Balance Sheet'!B18,SOFP!$C:$C)</f>
        <v>0</v>
      </c>
      <c r="E18" s="43">
        <f>+SUMIF(SOFP!$F:$F,'Part X - Balance Sheet'!B18,SOFP!$D:$D)</f>
        <v>0</v>
      </c>
    </row>
    <row r="19" spans="1:8" x14ac:dyDescent="0.3">
      <c r="A19" s="436"/>
      <c r="B19" s="74">
        <v>14</v>
      </c>
      <c r="C19" s="80" t="s">
        <v>201</v>
      </c>
      <c r="D19" s="43">
        <f>+SUMIF(SOFP!$E:$E,'Part X - Balance Sheet'!B19,SOFP!$C:$C)</f>
        <v>342890</v>
      </c>
      <c r="E19" s="43">
        <f>+SUMIF(SOFP!$F:$F,'Part X - Balance Sheet'!B19,SOFP!$D:$D)</f>
        <v>556564</v>
      </c>
      <c r="G19" s="103"/>
      <c r="H19" s="103"/>
    </row>
    <row r="20" spans="1:8" ht="15" thickBot="1" x14ac:dyDescent="0.35">
      <c r="A20" s="436"/>
      <c r="B20" s="74">
        <v>15</v>
      </c>
      <c r="C20" s="80" t="s">
        <v>202</v>
      </c>
      <c r="D20" s="43">
        <f>+SUMIF(SOFP!$E:$E,'Part X - Balance Sheet'!B20,SOFP!$C:$C)</f>
        <v>29175</v>
      </c>
      <c r="E20" s="43">
        <f>+SUMIF(SOFP!$F:$F,'Part X - Balance Sheet'!B20,SOFP!$D:$D)</f>
        <v>29175</v>
      </c>
      <c r="G20" s="59"/>
      <c r="H20" s="59"/>
    </row>
    <row r="21" spans="1:8" ht="15" thickBot="1" x14ac:dyDescent="0.35">
      <c r="A21" s="436"/>
      <c r="B21" s="106">
        <v>16</v>
      </c>
      <c r="C21" s="107" t="s">
        <v>203</v>
      </c>
      <c r="D21" s="108">
        <f>SUM(D4:D12,D15:D20)</f>
        <v>4745599</v>
      </c>
      <c r="E21" s="108">
        <f>SUM(E4:E12,E15:E20)</f>
        <v>5332614</v>
      </c>
    </row>
    <row r="22" spans="1:8" ht="15" customHeight="1" x14ac:dyDescent="0.3">
      <c r="A22" s="438" t="s">
        <v>204</v>
      </c>
      <c r="B22" s="74">
        <v>17</v>
      </c>
      <c r="C22" s="80" t="s">
        <v>205</v>
      </c>
      <c r="D22" s="43">
        <f>+SUMIF(SOFP!$E:$E,'Part X - Balance Sheet'!B22,SOFP!$C:$C)</f>
        <v>361056</v>
      </c>
      <c r="E22" s="43">
        <f>+SUMIF(SOFP!$F:$F,'Part X - Balance Sheet'!B22,SOFP!$D:$D)</f>
        <v>1278580</v>
      </c>
    </row>
    <row r="23" spans="1:8" x14ac:dyDescent="0.3">
      <c r="A23" s="436"/>
      <c r="B23" s="74">
        <v>18</v>
      </c>
      <c r="C23" s="80" t="s">
        <v>206</v>
      </c>
      <c r="D23" s="43">
        <f>+SUMIF(SOFP!$E:$E,'Part X - Balance Sheet'!B23,SOFP!$C:$C)</f>
        <v>0</v>
      </c>
      <c r="E23" s="43">
        <f>+SUMIF(SOFP!$F:$F,'Part X - Balance Sheet'!B23,SOFP!$D:$D)</f>
        <v>0</v>
      </c>
    </row>
    <row r="24" spans="1:8" x14ac:dyDescent="0.3">
      <c r="A24" s="436"/>
      <c r="B24" s="74">
        <v>19</v>
      </c>
      <c r="C24" s="80" t="s">
        <v>207</v>
      </c>
      <c r="D24" s="43">
        <f>+SUMIF(SOFP!$E:$E,'Part X - Balance Sheet'!B24,SOFP!$C:$C)</f>
        <v>0</v>
      </c>
      <c r="E24" s="43">
        <f>+SUMIF(SOFP!$F:$F,'Part X - Balance Sheet'!B24,SOFP!$D:$D)</f>
        <v>1054229</v>
      </c>
    </row>
    <row r="25" spans="1:8" x14ac:dyDescent="0.3">
      <c r="A25" s="436"/>
      <c r="B25" s="74">
        <v>20</v>
      </c>
      <c r="C25" s="80" t="s">
        <v>208</v>
      </c>
      <c r="D25" s="43">
        <f>+SUMIF(SOFP!$E:$E,'Part X - Balance Sheet'!B25,SOFP!$C:$C)</f>
        <v>0</v>
      </c>
      <c r="E25" s="43">
        <f>+SUMIF(SOFP!$F:$F,'Part X - Balance Sheet'!B25,SOFP!$D:$D)</f>
        <v>0</v>
      </c>
    </row>
    <row r="26" spans="1:8" x14ac:dyDescent="0.3">
      <c r="A26" s="436"/>
      <c r="B26" s="74">
        <v>21</v>
      </c>
      <c r="C26" s="80" t="s">
        <v>209</v>
      </c>
      <c r="D26" s="43">
        <f>+SUMIF(SOFP!$E:$E,'Part X - Balance Sheet'!B26,SOFP!$C:$C)</f>
        <v>0</v>
      </c>
      <c r="E26" s="43">
        <f>+SUMIF(SOFP!$F:$F,'Part X - Balance Sheet'!B26,SOFP!$D:$D)</f>
        <v>0</v>
      </c>
    </row>
    <row r="27" spans="1:8" ht="28.8" x14ac:dyDescent="0.3">
      <c r="A27" s="436"/>
      <c r="B27" s="74">
        <v>22</v>
      </c>
      <c r="C27" s="105" t="s">
        <v>210</v>
      </c>
      <c r="D27" s="43">
        <f>+SUMIF(SOFP!$E:$E,'Part X - Balance Sheet'!B27,SOFP!$C:$C)</f>
        <v>0</v>
      </c>
      <c r="E27" s="43">
        <f>+SUMIF(SOFP!$F:$F,'Part X - Balance Sheet'!B27,SOFP!$D:$D)</f>
        <v>0</v>
      </c>
    </row>
    <row r="28" spans="1:8" x14ac:dyDescent="0.3">
      <c r="A28" s="436"/>
      <c r="B28" s="74">
        <v>23</v>
      </c>
      <c r="C28" s="80" t="s">
        <v>211</v>
      </c>
      <c r="D28" s="43">
        <f>+SUMIF(SOFP!$E:$E,'Part X - Balance Sheet'!B28,SOFP!$C:$C)</f>
        <v>0</v>
      </c>
      <c r="E28" s="43">
        <f>+SUMIF(SOFP!$F:$F,'Part X - Balance Sheet'!B28,SOFP!$D:$D)</f>
        <v>0</v>
      </c>
    </row>
    <row r="29" spans="1:8" x14ac:dyDescent="0.3">
      <c r="A29" s="436"/>
      <c r="B29" s="74">
        <v>24</v>
      </c>
      <c r="C29" s="80" t="s">
        <v>212</v>
      </c>
      <c r="D29" s="43">
        <f>+SUMIF(SOFP!$E:$E,'Part X - Balance Sheet'!B29,SOFP!$C:$C)</f>
        <v>0</v>
      </c>
      <c r="E29" s="43">
        <f>+SUMIF(SOFP!$F:$F,'Part X - Balance Sheet'!B29,SOFP!$D:$D)</f>
        <v>0</v>
      </c>
    </row>
    <row r="30" spans="1:8" ht="29.4" thickBot="1" x14ac:dyDescent="0.35">
      <c r="A30" s="436"/>
      <c r="B30" s="74">
        <v>25</v>
      </c>
      <c r="C30" s="105" t="s">
        <v>213</v>
      </c>
      <c r="D30" s="43">
        <f>+SUMIF(SOFP!$E:$E,'Part X - Balance Sheet'!B30,SOFP!$C:$C)</f>
        <v>342890</v>
      </c>
      <c r="E30" s="43">
        <f>+SUMIF(SOFP!$F:$F,'Part X - Balance Sheet'!B30,SOFP!$D:$D)</f>
        <v>559692</v>
      </c>
    </row>
    <row r="31" spans="1:8" ht="15" thickBot="1" x14ac:dyDescent="0.35">
      <c r="A31" s="439"/>
      <c r="B31" s="106">
        <v>26</v>
      </c>
      <c r="C31" s="107" t="s">
        <v>214</v>
      </c>
      <c r="D31" s="108">
        <f>+SUM(D22:D30)</f>
        <v>703946</v>
      </c>
      <c r="E31" s="108">
        <f>+SUM(E22:E30)</f>
        <v>2892501</v>
      </c>
    </row>
    <row r="32" spans="1:8" ht="24.75" customHeight="1" x14ac:dyDescent="0.3">
      <c r="A32" s="436" t="s">
        <v>215</v>
      </c>
      <c r="B32" s="74"/>
      <c r="C32" s="109" t="s">
        <v>216</v>
      </c>
      <c r="D32" s="43"/>
      <c r="E32" s="43"/>
    </row>
    <row r="33" spans="1:6" x14ac:dyDescent="0.3">
      <c r="A33" s="436"/>
      <c r="B33" s="74">
        <v>27</v>
      </c>
      <c r="C33" s="80" t="s">
        <v>217</v>
      </c>
      <c r="D33" s="43">
        <f>+SUMIF(SOFP!$E:$E,'Part X - Balance Sheet'!B33,SOFP!$C:$C)</f>
        <v>460416</v>
      </c>
      <c r="E33" s="43">
        <f>+SUMIF(SOFP!$F:$F,'Part X - Balance Sheet'!B33,SOFP!$D:$D)</f>
        <v>103743</v>
      </c>
    </row>
    <row r="34" spans="1:6" x14ac:dyDescent="0.3">
      <c r="A34" s="436"/>
      <c r="B34" s="74">
        <v>28</v>
      </c>
      <c r="C34" s="80" t="s">
        <v>218</v>
      </c>
      <c r="D34" s="43">
        <f>+SUMIF(SOFP!$E:$E,'Part X - Balance Sheet'!B34,SOFP!$C:$C)</f>
        <v>3581237</v>
      </c>
      <c r="E34" s="43">
        <f>+SUMIF(SOFP!$F:$F,'Part X - Balance Sheet'!B34,SOFP!$D:$D)</f>
        <v>2336370</v>
      </c>
    </row>
    <row r="35" spans="1:6" ht="24" customHeight="1" x14ac:dyDescent="0.3">
      <c r="A35" s="436"/>
      <c r="B35" s="74"/>
      <c r="C35" s="109" t="s">
        <v>219</v>
      </c>
      <c r="D35" s="43"/>
      <c r="E35" s="43"/>
    </row>
    <row r="36" spans="1:6" x14ac:dyDescent="0.3">
      <c r="A36" s="436"/>
      <c r="B36" s="74">
        <v>29</v>
      </c>
      <c r="C36" s="80" t="s">
        <v>220</v>
      </c>
      <c r="D36" s="43">
        <f>+SUMIF(SOFP!$E:$E,'Part X - Balance Sheet'!B36,SOFP!$C:$C)</f>
        <v>0</v>
      </c>
      <c r="E36" s="43">
        <f>+SUMIF(SOFP!$F:$F,'Part X - Balance Sheet'!B36,SOFP!$D:$D)</f>
        <v>0</v>
      </c>
    </row>
    <row r="37" spans="1:6" x14ac:dyDescent="0.3">
      <c r="A37" s="436"/>
      <c r="B37" s="74">
        <v>30</v>
      </c>
      <c r="C37" s="80" t="s">
        <v>221</v>
      </c>
      <c r="D37" s="43">
        <f>+SUMIF(SOFP!$E:$E,'Part X - Balance Sheet'!B37,SOFP!$C:$C)</f>
        <v>0</v>
      </c>
      <c r="E37" s="43">
        <f>+SUMIF(SOFP!$F:$F,'Part X - Balance Sheet'!B37,SOFP!$D:$D)</f>
        <v>0</v>
      </c>
    </row>
    <row r="38" spans="1:6" ht="15" thickBot="1" x14ac:dyDescent="0.35">
      <c r="A38" s="436"/>
      <c r="B38" s="74">
        <v>31</v>
      </c>
      <c r="C38" s="80" t="s">
        <v>222</v>
      </c>
      <c r="D38" s="43">
        <f>+SUMIF(SOFP!$E:$E,'Part X - Balance Sheet'!B38,SOFP!$C:$C)</f>
        <v>0</v>
      </c>
      <c r="E38" s="43">
        <f>+SUMIF(SOFP!$F:$F,'Part X - Balance Sheet'!B38,SOFP!$D:$D)</f>
        <v>0</v>
      </c>
    </row>
    <row r="39" spans="1:6" ht="15" thickBot="1" x14ac:dyDescent="0.35">
      <c r="A39" s="436"/>
      <c r="B39" s="106">
        <v>32</v>
      </c>
      <c r="C39" s="107" t="s">
        <v>223</v>
      </c>
      <c r="D39" s="108">
        <f>SUM(D33:D38)</f>
        <v>4041653</v>
      </c>
      <c r="E39" s="108">
        <f>SUM(E33:E38)</f>
        <v>2440113</v>
      </c>
    </row>
    <row r="40" spans="1:6" ht="15" thickBot="1" x14ac:dyDescent="0.35">
      <c r="A40" s="439"/>
      <c r="B40" s="110">
        <v>33</v>
      </c>
      <c r="C40" s="111" t="s">
        <v>224</v>
      </c>
      <c r="D40" s="44">
        <f>D31+D39</f>
        <v>4745599</v>
      </c>
      <c r="E40" s="44">
        <f>E31+E39</f>
        <v>5332614</v>
      </c>
    </row>
    <row r="41" spans="1:6" x14ac:dyDescent="0.3">
      <c r="A41"/>
      <c r="B41" s="37"/>
      <c r="C41"/>
      <c r="D41" s="76"/>
      <c r="E41" s="76"/>
    </row>
    <row r="42" spans="1:6" x14ac:dyDescent="0.3">
      <c r="A42"/>
      <c r="B42" s="37"/>
      <c r="C42"/>
      <c r="D42" s="76">
        <f>+D21-D40</f>
        <v>0</v>
      </c>
      <c r="E42" s="76">
        <f>+E21-E40</f>
        <v>0</v>
      </c>
      <c r="F42" s="51" t="s">
        <v>225</v>
      </c>
    </row>
  </sheetData>
  <sheetProtection algorithmName="SHA-512" hashValue="1H8E+W6QcD1hwAj3GhtriqOmC4iR2kakMD3BPjQ+RsHbHHj4muurxPp6aOrFHNevsGnDBf5E1WZ2Z+eMqtLzew==" saltValue="SvhlVUn2p5uzOq9WW+bb3Q==" spinCount="100000" sheet="1" objects="1" scenarios="1" insertColumns="0" insertRows="0" deleteColumns="0" deleteRows="0"/>
  <mergeCells count="4">
    <mergeCell ref="A4:A21"/>
    <mergeCell ref="A2:E2"/>
    <mergeCell ref="A22:A31"/>
    <mergeCell ref="A32:A40"/>
  </mergeCells>
  <pageMargins left="0.7" right="0.7" top="0.75" bottom="0.75" header="0.3" footer="0.3"/>
  <pageSetup paperSize="9" scale="75" orientation="portrait" r:id="rId1"/>
  <colBreaks count="1" manualBreakCount="1">
    <brk id="5" max="1048575" man="1"/>
  </colBreaks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tabColor rgb="FF92D050"/>
  </sheetPr>
  <dimension ref="A1:E47"/>
  <sheetViews>
    <sheetView topLeftCell="A13" workbookViewId="0">
      <selection activeCell="E37" sqref="E37"/>
    </sheetView>
  </sheetViews>
  <sheetFormatPr defaultColWidth="9.109375" defaultRowHeight="14.4" x14ac:dyDescent="0.3"/>
  <cols>
    <col min="1" max="1" width="61.33203125" style="48" bestFit="1" customWidth="1"/>
    <col min="2" max="2" width="14" style="48" bestFit="1" customWidth="1"/>
    <col min="3" max="3" width="9.109375" style="49" hidden="1" customWidth="1"/>
    <col min="4" max="4" width="14.33203125" style="49" bestFit="1" customWidth="1"/>
    <col min="5" max="5" width="11.33203125" style="49" bestFit="1" customWidth="1"/>
    <col min="6" max="16384" width="9.109375" style="49"/>
  </cols>
  <sheetData>
    <row r="1" spans="1:3" ht="15" thickBot="1" x14ac:dyDescent="0.35"/>
    <row r="2" spans="1:3" ht="15" thickBot="1" x14ac:dyDescent="0.35">
      <c r="A2" s="440" t="s">
        <v>226</v>
      </c>
      <c r="B2" s="441"/>
    </row>
    <row r="3" spans="1:3" ht="15" thickBot="1" x14ac:dyDescent="0.35">
      <c r="A3" s="71" t="s">
        <v>59</v>
      </c>
      <c r="B3" s="71" t="s">
        <v>227</v>
      </c>
    </row>
    <row r="4" spans="1:3" x14ac:dyDescent="0.3">
      <c r="A4" s="60" t="s">
        <v>228</v>
      </c>
      <c r="B4" s="43">
        <f>+B14+B10-B13</f>
        <v>10524140</v>
      </c>
    </row>
    <row r="5" spans="1:3" x14ac:dyDescent="0.3">
      <c r="A5" s="60"/>
      <c r="B5" s="57"/>
    </row>
    <row r="6" spans="1:3" x14ac:dyDescent="0.3">
      <c r="A6" s="60" t="s">
        <v>229</v>
      </c>
      <c r="B6" s="57">
        <f>+SUMIF(SOR!F:F,'Part XI - Net Asset Recon.'!C6,SOR!B:B)</f>
        <v>30922</v>
      </c>
      <c r="C6" s="49" t="s">
        <v>230</v>
      </c>
    </row>
    <row r="7" spans="1:3" x14ac:dyDescent="0.3">
      <c r="A7" s="60" t="s">
        <v>231</v>
      </c>
      <c r="B7" s="57">
        <f>+SUMIF(SOR!F:F,'Part XI - Net Asset Recon.'!C7,SOR!B:B)</f>
        <v>34712</v>
      </c>
      <c r="C7" s="49" t="s">
        <v>232</v>
      </c>
    </row>
    <row r="8" spans="1:3" x14ac:dyDescent="0.3">
      <c r="A8" s="60" t="s">
        <v>233</v>
      </c>
      <c r="B8" s="57">
        <f>+SUMIF(SOR!F:F,'Part XI - Net Asset Recon.'!C8,SOR!B:B)</f>
        <v>0</v>
      </c>
      <c r="C8" s="49" t="s">
        <v>234</v>
      </c>
    </row>
    <row r="9" spans="1:3" x14ac:dyDescent="0.3">
      <c r="A9" s="60" t="s">
        <v>235</v>
      </c>
      <c r="B9" s="57">
        <f>+SUMIF(SOR!F:F,'Part XI - Net Asset Recon.'!C9,SOR!B:B)</f>
        <v>0</v>
      </c>
      <c r="C9" s="49" t="s">
        <v>236</v>
      </c>
    </row>
    <row r="10" spans="1:3" x14ac:dyDescent="0.3">
      <c r="A10" s="60"/>
      <c r="B10" s="120">
        <f>+SUM(B6:B9)</f>
        <v>65634</v>
      </c>
    </row>
    <row r="11" spans="1:3" x14ac:dyDescent="0.3">
      <c r="A11" s="60" t="s">
        <v>237</v>
      </c>
      <c r="B11" s="57">
        <f>+SUMIF(SOR!F:F,'Part XI - Net Asset Recon.'!C11,SOR!B:B)</f>
        <v>0</v>
      </c>
      <c r="C11" s="49" t="s">
        <v>238</v>
      </c>
    </row>
    <row r="12" spans="1:3" x14ac:dyDescent="0.3">
      <c r="A12" s="60" t="s">
        <v>239</v>
      </c>
      <c r="B12" s="57">
        <v>0</v>
      </c>
    </row>
    <row r="13" spans="1:3" x14ac:dyDescent="0.3">
      <c r="A13" s="60"/>
      <c r="B13" s="121">
        <f>+SUM(B11:B12)</f>
        <v>0</v>
      </c>
    </row>
    <row r="14" spans="1:3" ht="15" thickBot="1" x14ac:dyDescent="0.35">
      <c r="A14" s="115" t="s">
        <v>240</v>
      </c>
      <c r="B14" s="122">
        <f>+'Part VIII - Revenue'!E48</f>
        <v>10458506</v>
      </c>
    </row>
    <row r="15" spans="1:3" x14ac:dyDescent="0.3">
      <c r="B15" s="53"/>
    </row>
    <row r="16" spans="1:3" ht="15" thickBot="1" x14ac:dyDescent="0.35">
      <c r="B16" s="53"/>
    </row>
    <row r="17" spans="1:4" ht="15" thickBot="1" x14ac:dyDescent="0.35">
      <c r="A17" s="440" t="s">
        <v>241</v>
      </c>
      <c r="B17" s="441"/>
    </row>
    <row r="18" spans="1:4" ht="15" thickBot="1" x14ac:dyDescent="0.35">
      <c r="A18" s="71" t="s">
        <v>59</v>
      </c>
      <c r="B18" s="71" t="s">
        <v>227</v>
      </c>
    </row>
    <row r="19" spans="1:4" x14ac:dyDescent="0.3">
      <c r="A19" s="60" t="s">
        <v>242</v>
      </c>
      <c r="B19" s="43">
        <f>+B29+B25-B28</f>
        <v>12125680.41</v>
      </c>
    </row>
    <row r="20" spans="1:4" x14ac:dyDescent="0.3">
      <c r="A20" s="60"/>
      <c r="B20" s="57"/>
    </row>
    <row r="21" spans="1:4" x14ac:dyDescent="0.3">
      <c r="A21" s="60" t="s">
        <v>243</v>
      </c>
      <c r="B21" s="57">
        <f>+SUMIF(SOFE!J:J,'Part XI - Net Asset Recon.'!C21,SOFE!H:H)</f>
        <v>34712</v>
      </c>
      <c r="C21" s="49" t="s">
        <v>232</v>
      </c>
    </row>
    <row r="22" spans="1:4" x14ac:dyDescent="0.3">
      <c r="A22" s="60" t="s">
        <v>244</v>
      </c>
      <c r="B22" s="57">
        <f>+SUMIF(SOFE!J:J,'Part XI - Net Asset Recon.'!C22,SOFE!H:H)</f>
        <v>0</v>
      </c>
      <c r="C22" s="49" t="s">
        <v>234</v>
      </c>
    </row>
    <row r="23" spans="1:4" x14ac:dyDescent="0.3">
      <c r="A23" s="60" t="s">
        <v>245</v>
      </c>
      <c r="B23" s="57">
        <f>+SUMIF(SOFE!J:J,'Part XI - Net Asset Recon.'!C23,SOFE!H:H)</f>
        <v>0</v>
      </c>
      <c r="C23" s="49" t="s">
        <v>246</v>
      </c>
    </row>
    <row r="24" spans="1:4" x14ac:dyDescent="0.3">
      <c r="A24" s="60" t="s">
        <v>235</v>
      </c>
      <c r="B24" s="57">
        <f>+SUMIF(SOFE!J:J,'Part XI - Net Asset Recon.'!C24,SOFE!H:H)</f>
        <v>7906</v>
      </c>
      <c r="C24" s="49" t="s">
        <v>236</v>
      </c>
    </row>
    <row r="25" spans="1:4" x14ac:dyDescent="0.3">
      <c r="A25" s="60"/>
      <c r="B25" s="120">
        <f>+SUM(B21:B24)</f>
        <v>42618</v>
      </c>
    </row>
    <row r="26" spans="1:4" x14ac:dyDescent="0.3">
      <c r="A26" s="60" t="s">
        <v>237</v>
      </c>
      <c r="B26" s="57">
        <f>+SUMIF(SOFE!J:J,'Part XI - Net Asset Recon.'!C26,SOFE!H:H)</f>
        <v>0</v>
      </c>
      <c r="C26" s="49" t="s">
        <v>238</v>
      </c>
    </row>
    <row r="27" spans="1:4" x14ac:dyDescent="0.3">
      <c r="A27" s="60" t="s">
        <v>239</v>
      </c>
      <c r="B27" s="57">
        <v>0</v>
      </c>
    </row>
    <row r="28" spans="1:4" x14ac:dyDescent="0.3">
      <c r="A28" s="60"/>
      <c r="B28" s="121">
        <f>+SUM(B26:B27)</f>
        <v>0</v>
      </c>
    </row>
    <row r="29" spans="1:4" ht="15" thickBot="1" x14ac:dyDescent="0.35">
      <c r="A29" s="115" t="s">
        <v>247</v>
      </c>
      <c r="B29" s="122">
        <f>+'Part IX - Expenses'!C39</f>
        <v>12083062.41</v>
      </c>
    </row>
    <row r="31" spans="1:4" x14ac:dyDescent="0.3">
      <c r="D31" s="51"/>
    </row>
    <row r="32" spans="1:4" ht="15" thickBot="1" x14ac:dyDescent="0.35">
      <c r="B32" s="53"/>
    </row>
    <row r="33" spans="1:5" ht="15" thickBot="1" x14ac:dyDescent="0.35">
      <c r="A33" s="442" t="s">
        <v>248</v>
      </c>
      <c r="B33" s="442"/>
    </row>
    <row r="34" spans="1:5" ht="15" thickBot="1" x14ac:dyDescent="0.35">
      <c r="A34" s="71" t="s">
        <v>59</v>
      </c>
      <c r="B34" s="71" t="s">
        <v>227</v>
      </c>
    </row>
    <row r="35" spans="1:5" x14ac:dyDescent="0.3">
      <c r="A35" s="116" t="s">
        <v>249</v>
      </c>
      <c r="B35" s="123">
        <f>+'Part VIII - Revenue'!E48</f>
        <v>10458506</v>
      </c>
    </row>
    <row r="36" spans="1:5" x14ac:dyDescent="0.3">
      <c r="A36" s="57" t="s">
        <v>250</v>
      </c>
      <c r="B36" s="123">
        <f>+'Part IX - Expenses'!C39</f>
        <v>12083062.41</v>
      </c>
      <c r="D36" s="59"/>
      <c r="E36" s="59"/>
    </row>
    <row r="37" spans="1:5" x14ac:dyDescent="0.3">
      <c r="A37" s="57" t="s">
        <v>251</v>
      </c>
      <c r="B37" s="124">
        <f>B35-B36</f>
        <v>-1624556.4100000001</v>
      </c>
    </row>
    <row r="38" spans="1:5" ht="28.8" x14ac:dyDescent="0.3">
      <c r="A38" s="116" t="s">
        <v>252</v>
      </c>
      <c r="B38" s="123">
        <f>+'Part X - Balance Sheet'!D39</f>
        <v>4041653</v>
      </c>
    </row>
    <row r="39" spans="1:5" x14ac:dyDescent="0.3">
      <c r="A39" s="57" t="s">
        <v>253</v>
      </c>
      <c r="B39" s="117">
        <f>+B6</f>
        <v>30922</v>
      </c>
      <c r="C39" s="49" t="s">
        <v>230</v>
      </c>
    </row>
    <row r="40" spans="1:5" x14ac:dyDescent="0.3">
      <c r="A40" s="116" t="s">
        <v>254</v>
      </c>
      <c r="B40" s="117">
        <f>+IF(B7=B21,B7-B21,B7)</f>
        <v>0</v>
      </c>
      <c r="C40" s="49" t="s">
        <v>232</v>
      </c>
    </row>
    <row r="41" spans="1:5" x14ac:dyDescent="0.3">
      <c r="A41" s="117" t="s">
        <v>255</v>
      </c>
      <c r="B41" s="117">
        <v>0</v>
      </c>
      <c r="C41" s="49" t="s">
        <v>238</v>
      </c>
    </row>
    <row r="42" spans="1:5" x14ac:dyDescent="0.3">
      <c r="A42" s="117" t="s">
        <v>256</v>
      </c>
      <c r="B42" s="117">
        <f>+IF(B8=B22,B8-B22,B8)</f>
        <v>0</v>
      </c>
      <c r="C42" s="49" t="s">
        <v>234</v>
      </c>
    </row>
    <row r="43" spans="1:5" x14ac:dyDescent="0.3">
      <c r="A43" s="117" t="s">
        <v>257</v>
      </c>
      <c r="B43" s="117">
        <f>-+IF(B9=B24,B9,SUM(B9+B24))</f>
        <v>-7906</v>
      </c>
    </row>
    <row r="44" spans="1:5" ht="29.4" thickBot="1" x14ac:dyDescent="0.35">
      <c r="A44" s="118" t="s">
        <v>258</v>
      </c>
      <c r="B44" s="125">
        <f>+SUM(B37:B43)</f>
        <v>2440112.59</v>
      </c>
    </row>
    <row r="45" spans="1:5" x14ac:dyDescent="0.3">
      <c r="B45" s="58"/>
      <c r="D45" s="59"/>
    </row>
    <row r="46" spans="1:5" x14ac:dyDescent="0.3">
      <c r="A46" s="119" t="s">
        <v>225</v>
      </c>
      <c r="B46" s="77">
        <f>+B44-'Part X - Balance Sheet'!E39</f>
        <v>-0.41000000014901161</v>
      </c>
    </row>
    <row r="47" spans="1:5" x14ac:dyDescent="0.3">
      <c r="B47" s="58"/>
    </row>
  </sheetData>
  <sheetProtection sheet="1" objects="1" scenarios="1"/>
  <mergeCells count="3">
    <mergeCell ref="A2:B2"/>
    <mergeCell ref="A17:B17"/>
    <mergeCell ref="A33:B33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2" tint="-0.249977111117893"/>
  </sheetPr>
  <dimension ref="A1:I60"/>
  <sheetViews>
    <sheetView zoomScale="90" zoomScaleNormal="90" workbookViewId="0"/>
  </sheetViews>
  <sheetFormatPr defaultRowHeight="14.4" x14ac:dyDescent="0.3"/>
  <cols>
    <col min="1" max="1" width="7.33203125" bestFit="1" customWidth="1"/>
    <col min="2" max="2" width="17.6640625" customWidth="1"/>
    <col min="3" max="3" width="16.109375" style="8" customWidth="1"/>
    <col min="4" max="4" width="74.109375" style="384" customWidth="1"/>
    <col min="5" max="5" width="39.5546875" customWidth="1"/>
    <col min="6" max="6" width="10.109375" customWidth="1"/>
    <col min="7" max="7" width="14.33203125" bestFit="1" customWidth="1"/>
    <col min="8" max="8" width="10" customWidth="1"/>
    <col min="9" max="9" width="10.44140625" bestFit="1" customWidth="1"/>
  </cols>
  <sheetData>
    <row r="1" spans="1:9" s="37" customFormat="1" x14ac:dyDescent="0.3">
      <c r="A1" s="382"/>
      <c r="B1" s="383"/>
      <c r="C1" s="382"/>
      <c r="D1" s="383"/>
      <c r="E1" s="382"/>
    </row>
    <row r="2" spans="1:9" x14ac:dyDescent="0.3">
      <c r="A2" s="8"/>
      <c r="B2" s="8"/>
      <c r="E2" s="385"/>
    </row>
    <row r="3" spans="1:9" x14ac:dyDescent="0.3">
      <c r="A3" s="8"/>
      <c r="B3" s="8"/>
      <c r="G3" s="8"/>
      <c r="H3" s="8"/>
      <c r="I3" s="8"/>
    </row>
    <row r="4" spans="1:9" x14ac:dyDescent="0.3">
      <c r="A4" s="8"/>
      <c r="B4" s="8"/>
      <c r="H4" s="359"/>
      <c r="I4" s="359"/>
    </row>
    <row r="5" spans="1:9" x14ac:dyDescent="0.3">
      <c r="B5" s="386"/>
      <c r="C5" s="387"/>
      <c r="D5" s="388"/>
      <c r="E5" s="389"/>
      <c r="F5" s="389"/>
      <c r="G5" s="390"/>
      <c r="I5" s="391"/>
    </row>
    <row r="6" spans="1:9" x14ac:dyDescent="0.3">
      <c r="B6" s="389"/>
      <c r="C6" s="392"/>
      <c r="D6" s="393"/>
      <c r="E6" s="389"/>
      <c r="F6" s="389"/>
      <c r="G6" s="394"/>
      <c r="I6" s="391"/>
    </row>
    <row r="7" spans="1:9" x14ac:dyDescent="0.3">
      <c r="B7" s="389"/>
      <c r="C7" s="392"/>
      <c r="D7" s="385"/>
      <c r="E7" s="389"/>
      <c r="F7" s="389"/>
      <c r="G7" s="394"/>
      <c r="I7" s="391"/>
    </row>
    <row r="8" spans="1:9" x14ac:dyDescent="0.3">
      <c r="B8" s="389"/>
      <c r="C8" s="392"/>
      <c r="D8" s="395"/>
      <c r="E8" s="389"/>
      <c r="F8" s="389"/>
      <c r="G8" s="394"/>
    </row>
    <row r="9" spans="1:9" x14ac:dyDescent="0.3">
      <c r="B9" s="389"/>
      <c r="C9" s="392"/>
      <c r="D9" s="388"/>
      <c r="E9" s="389"/>
      <c r="F9" s="389"/>
      <c r="G9" s="394"/>
    </row>
    <row r="10" spans="1:9" x14ac:dyDescent="0.3">
      <c r="B10" s="389"/>
      <c r="C10" s="392"/>
      <c r="D10" s="388"/>
      <c r="E10" s="389"/>
      <c r="F10" s="389"/>
    </row>
    <row r="11" spans="1:9" x14ac:dyDescent="0.3">
      <c r="B11" s="389"/>
      <c r="C11" s="392"/>
      <c r="D11" s="388"/>
      <c r="E11" s="389"/>
      <c r="F11" s="389"/>
    </row>
    <row r="12" spans="1:9" x14ac:dyDescent="0.3">
      <c r="B12" s="389"/>
      <c r="C12" s="392"/>
      <c r="D12" s="385"/>
      <c r="E12" s="389"/>
      <c r="F12" s="389"/>
    </row>
    <row r="13" spans="1:9" x14ac:dyDescent="0.3">
      <c r="B13" s="389"/>
      <c r="C13" s="386"/>
      <c r="D13" s="388"/>
      <c r="E13" s="389"/>
      <c r="F13" s="389"/>
    </row>
    <row r="14" spans="1:9" x14ac:dyDescent="0.3">
      <c r="B14" s="389"/>
      <c r="C14" s="392"/>
      <c r="D14" s="396"/>
      <c r="E14" s="389"/>
      <c r="F14" s="389"/>
    </row>
    <row r="15" spans="1:9" x14ac:dyDescent="0.3">
      <c r="B15" s="389"/>
      <c r="C15" s="392"/>
      <c r="D15" s="397"/>
      <c r="E15" s="389"/>
      <c r="F15" s="389"/>
    </row>
    <row r="16" spans="1:9" x14ac:dyDescent="0.3">
      <c r="B16" s="389"/>
      <c r="C16" s="392"/>
      <c r="D16" s="385"/>
      <c r="E16" s="389"/>
      <c r="F16" s="389"/>
    </row>
    <row r="17" spans="2:6" x14ac:dyDescent="0.3">
      <c r="B17" s="389"/>
      <c r="C17" s="386"/>
      <c r="D17" s="398"/>
      <c r="E17" s="399"/>
      <c r="F17" s="399"/>
    </row>
    <row r="18" spans="2:6" x14ac:dyDescent="0.3">
      <c r="B18" s="389"/>
      <c r="C18" s="386"/>
      <c r="D18" s="385"/>
      <c r="E18" s="389"/>
      <c r="F18" s="389"/>
    </row>
    <row r="19" spans="2:6" x14ac:dyDescent="0.3">
      <c r="B19" s="389"/>
      <c r="C19" s="386"/>
      <c r="D19" s="388"/>
      <c r="E19" s="389"/>
      <c r="F19" s="389"/>
    </row>
    <row r="20" spans="2:6" x14ac:dyDescent="0.3">
      <c r="B20" s="389"/>
      <c r="C20" s="400"/>
      <c r="D20" s="388"/>
      <c r="E20" s="389"/>
      <c r="F20" s="389"/>
    </row>
    <row r="21" spans="2:6" x14ac:dyDescent="0.3">
      <c r="B21" s="389"/>
      <c r="C21" s="392"/>
      <c r="D21" s="396"/>
      <c r="E21" s="389"/>
      <c r="F21" s="389"/>
    </row>
    <row r="22" spans="2:6" x14ac:dyDescent="0.3">
      <c r="B22" s="389"/>
      <c r="C22" s="392"/>
      <c r="D22" s="385"/>
      <c r="E22" s="389"/>
      <c r="F22" s="389"/>
    </row>
    <row r="23" spans="2:6" x14ac:dyDescent="0.3">
      <c r="B23" s="389"/>
      <c r="C23" s="400"/>
      <c r="D23" s="388"/>
      <c r="E23" s="389"/>
      <c r="F23" s="389"/>
    </row>
    <row r="24" spans="2:6" x14ac:dyDescent="0.3">
      <c r="B24" s="389"/>
      <c r="C24" s="392"/>
      <c r="D24" s="385"/>
      <c r="E24" s="389"/>
      <c r="F24" s="389"/>
    </row>
    <row r="25" spans="2:6" x14ac:dyDescent="0.3">
      <c r="B25" s="389"/>
      <c r="C25" s="400"/>
      <c r="D25" s="388"/>
      <c r="E25" s="389"/>
      <c r="F25" s="389"/>
    </row>
    <row r="26" spans="2:6" x14ac:dyDescent="0.3">
      <c r="B26" s="389"/>
      <c r="C26" s="392"/>
      <c r="D26" s="385"/>
      <c r="E26" s="389"/>
      <c r="F26" s="389"/>
    </row>
    <row r="27" spans="2:6" x14ac:dyDescent="0.3">
      <c r="B27" s="389"/>
      <c r="C27" s="400"/>
      <c r="D27" s="388"/>
      <c r="E27" s="389"/>
      <c r="F27" s="389"/>
    </row>
    <row r="28" spans="2:6" x14ac:dyDescent="0.3">
      <c r="B28" s="389"/>
      <c r="C28" s="400"/>
      <c r="D28" s="385"/>
      <c r="E28" s="389"/>
      <c r="F28" s="389"/>
    </row>
    <row r="29" spans="2:6" x14ac:dyDescent="0.3">
      <c r="B29" s="389"/>
      <c r="C29" s="386"/>
      <c r="D29" s="388"/>
      <c r="E29" s="385"/>
      <c r="F29" s="389"/>
    </row>
    <row r="30" spans="2:6" x14ac:dyDescent="0.3">
      <c r="B30" s="389"/>
      <c r="C30" s="392"/>
      <c r="D30" s="385"/>
      <c r="E30" s="389"/>
      <c r="F30" s="389"/>
    </row>
    <row r="31" spans="2:6" x14ac:dyDescent="0.3">
      <c r="B31" s="389"/>
      <c r="C31" s="386"/>
      <c r="D31" s="388"/>
      <c r="E31" s="389"/>
      <c r="F31" s="389"/>
    </row>
    <row r="32" spans="2:6" x14ac:dyDescent="0.3">
      <c r="B32" s="389"/>
      <c r="C32" s="392"/>
      <c r="D32" s="385"/>
      <c r="E32" s="389"/>
      <c r="F32" s="389"/>
    </row>
    <row r="33" spans="2:6" x14ac:dyDescent="0.3">
      <c r="B33" s="389"/>
      <c r="C33" s="386"/>
      <c r="D33" s="388"/>
      <c r="E33" s="389"/>
      <c r="F33" s="389"/>
    </row>
    <row r="34" spans="2:6" x14ac:dyDescent="0.3">
      <c r="B34" s="389"/>
      <c r="C34" s="392"/>
      <c r="D34" s="385"/>
      <c r="E34" s="389"/>
      <c r="F34" s="389"/>
    </row>
    <row r="35" spans="2:6" x14ac:dyDescent="0.3">
      <c r="B35" s="389"/>
      <c r="C35" s="386"/>
      <c r="D35" s="388"/>
      <c r="E35" s="389"/>
      <c r="F35" s="389"/>
    </row>
    <row r="36" spans="2:6" x14ac:dyDescent="0.3">
      <c r="B36" s="389"/>
      <c r="C36" s="392"/>
      <c r="D36" s="385"/>
      <c r="E36" s="389"/>
      <c r="F36" s="389"/>
    </row>
    <row r="37" spans="2:6" x14ac:dyDescent="0.3">
      <c r="B37" s="389"/>
      <c r="C37" s="400"/>
      <c r="D37" s="388"/>
      <c r="E37" s="389"/>
      <c r="F37" s="389"/>
    </row>
    <row r="38" spans="2:6" x14ac:dyDescent="0.3">
      <c r="B38" s="389"/>
      <c r="C38" s="392"/>
      <c r="D38" s="385"/>
      <c r="E38" s="389"/>
      <c r="F38" s="389"/>
    </row>
    <row r="39" spans="2:6" x14ac:dyDescent="0.3">
      <c r="B39" s="389"/>
      <c r="C39" s="386"/>
      <c r="D39" s="388"/>
      <c r="E39" s="389"/>
      <c r="F39" s="389"/>
    </row>
    <row r="40" spans="2:6" x14ac:dyDescent="0.3">
      <c r="B40" s="389"/>
      <c r="C40" s="392"/>
      <c r="D40" s="385"/>
      <c r="E40" s="389"/>
      <c r="F40" s="389"/>
    </row>
    <row r="41" spans="2:6" x14ac:dyDescent="0.3">
      <c r="B41" s="389"/>
      <c r="C41" s="392"/>
      <c r="D41" s="385"/>
      <c r="E41" s="389"/>
      <c r="F41" s="389"/>
    </row>
    <row r="42" spans="2:6" x14ac:dyDescent="0.3">
      <c r="B42" s="389"/>
      <c r="C42" s="392"/>
      <c r="D42" s="385"/>
      <c r="E42" s="389"/>
      <c r="F42" s="389"/>
    </row>
    <row r="43" spans="2:6" x14ac:dyDescent="0.3">
      <c r="B43" s="389"/>
      <c r="C43" s="392"/>
      <c r="D43" s="388"/>
      <c r="E43" s="389"/>
      <c r="F43" s="389"/>
    </row>
    <row r="44" spans="2:6" x14ac:dyDescent="0.3">
      <c r="B44" s="389"/>
      <c r="C44" s="392"/>
      <c r="D44" s="385"/>
      <c r="E44" s="389"/>
      <c r="F44" s="389"/>
    </row>
    <row r="45" spans="2:6" x14ac:dyDescent="0.3">
      <c r="B45" s="389"/>
      <c r="C45" s="392"/>
      <c r="D45" s="385"/>
      <c r="E45" s="389"/>
      <c r="F45" s="389"/>
    </row>
    <row r="46" spans="2:6" x14ac:dyDescent="0.3">
      <c r="B46" s="389"/>
      <c r="C46" s="392"/>
      <c r="D46" s="385"/>
      <c r="E46" s="389"/>
      <c r="F46" s="389"/>
    </row>
    <row r="47" spans="2:6" x14ac:dyDescent="0.3">
      <c r="B47" s="389"/>
      <c r="C47" s="392"/>
      <c r="D47" s="385"/>
      <c r="E47" s="389"/>
      <c r="F47" s="389"/>
    </row>
    <row r="48" spans="2:6" x14ac:dyDescent="0.3">
      <c r="B48" s="389"/>
      <c r="C48" s="392"/>
      <c r="D48" s="385"/>
      <c r="E48" s="389"/>
      <c r="F48" s="389"/>
    </row>
    <row r="49" spans="2:6" x14ac:dyDescent="0.3">
      <c r="B49" s="389"/>
      <c r="C49" s="392"/>
      <c r="D49" s="385"/>
      <c r="E49" s="389"/>
      <c r="F49" s="389"/>
    </row>
    <row r="50" spans="2:6" x14ac:dyDescent="0.3">
      <c r="B50" s="389"/>
      <c r="C50" s="392"/>
      <c r="D50" s="385"/>
      <c r="E50" s="389"/>
      <c r="F50" s="389"/>
    </row>
    <row r="51" spans="2:6" x14ac:dyDescent="0.3">
      <c r="B51" s="389"/>
      <c r="C51" s="392"/>
      <c r="D51" s="385"/>
      <c r="E51" s="389"/>
      <c r="F51" s="389"/>
    </row>
    <row r="52" spans="2:6" x14ac:dyDescent="0.3">
      <c r="B52" s="389"/>
      <c r="C52" s="392"/>
      <c r="D52" s="385"/>
      <c r="E52" s="389"/>
      <c r="F52" s="389"/>
    </row>
    <row r="53" spans="2:6" x14ac:dyDescent="0.3">
      <c r="B53" s="389"/>
      <c r="C53" s="392"/>
      <c r="D53" s="385"/>
      <c r="E53" s="389"/>
      <c r="F53" s="389"/>
    </row>
    <row r="54" spans="2:6" x14ac:dyDescent="0.3">
      <c r="B54" s="389"/>
      <c r="C54" s="392"/>
      <c r="D54" s="385"/>
      <c r="E54" s="389"/>
      <c r="F54" s="389"/>
    </row>
    <row r="55" spans="2:6" x14ac:dyDescent="0.3">
      <c r="B55" s="389"/>
      <c r="C55" s="392"/>
      <c r="D55" s="385"/>
      <c r="E55" s="389"/>
      <c r="F55" s="389"/>
    </row>
    <row r="56" spans="2:6" x14ac:dyDescent="0.3">
      <c r="B56" s="389"/>
      <c r="C56" s="392"/>
      <c r="D56" s="385"/>
      <c r="E56" s="389"/>
      <c r="F56" s="389"/>
    </row>
    <row r="57" spans="2:6" x14ac:dyDescent="0.3">
      <c r="B57" s="389"/>
      <c r="C57" s="392"/>
      <c r="D57" s="385"/>
      <c r="E57" s="389"/>
      <c r="F57" s="389"/>
    </row>
    <row r="58" spans="2:6" x14ac:dyDescent="0.3">
      <c r="B58" s="389"/>
      <c r="C58" s="392"/>
      <c r="D58" s="385"/>
      <c r="E58" s="389"/>
      <c r="F58" s="389"/>
    </row>
    <row r="59" spans="2:6" x14ac:dyDescent="0.3">
      <c r="B59" s="389"/>
      <c r="C59" s="392"/>
      <c r="D59" s="385"/>
      <c r="E59" s="389"/>
      <c r="F59" s="389"/>
    </row>
    <row r="60" spans="2:6" x14ac:dyDescent="0.3">
      <c r="B60" s="389"/>
      <c r="C60" s="392"/>
      <c r="D60" s="385"/>
      <c r="E60" s="389"/>
      <c r="F60" s="389"/>
    </row>
  </sheetData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208"/>
  <sheetViews>
    <sheetView tabSelected="1" workbookViewId="0"/>
  </sheetViews>
  <sheetFormatPr defaultColWidth="9.109375" defaultRowHeight="14.4" x14ac:dyDescent="0.3"/>
  <cols>
    <col min="1" max="1" width="45.109375" style="257" customWidth="1"/>
    <col min="2" max="2" width="13.33203125" style="257" bestFit="1" customWidth="1"/>
    <col min="3" max="3" width="11.5546875" style="257" bestFit="1" customWidth="1"/>
    <col min="4" max="4" width="10.6640625" style="257" bestFit="1" customWidth="1"/>
    <col min="5" max="5" width="13.33203125" style="257" bestFit="1" customWidth="1"/>
    <col min="6" max="6" width="8.6640625" style="257" bestFit="1" customWidth="1"/>
    <col min="7" max="7" width="13.33203125" style="257" bestFit="1" customWidth="1"/>
    <col min="8" max="8" width="7.44140625" style="257" bestFit="1" customWidth="1"/>
    <col min="9" max="10" width="9.109375" style="257"/>
    <col min="11" max="13" width="10.5546875" style="257" bestFit="1" customWidth="1"/>
    <col min="14" max="16384" width="9.109375" style="257"/>
  </cols>
  <sheetData>
    <row r="2" spans="1:8" ht="15" thickBot="1" x14ac:dyDescent="0.35">
      <c r="A2" s="258"/>
      <c r="B2" s="258"/>
      <c r="C2" s="258"/>
      <c r="D2" s="258"/>
      <c r="E2" s="258"/>
      <c r="F2" s="258"/>
      <c r="G2" s="258"/>
      <c r="H2" s="258"/>
    </row>
    <row r="3" spans="1:8" x14ac:dyDescent="0.3">
      <c r="A3" s="259" t="s">
        <v>383</v>
      </c>
      <c r="B3" s="260" t="s">
        <v>384</v>
      </c>
      <c r="C3" s="260" t="s">
        <v>385</v>
      </c>
      <c r="D3" s="260" t="s">
        <v>386</v>
      </c>
      <c r="E3" s="260" t="s">
        <v>387</v>
      </c>
      <c r="F3" s="261" t="s">
        <v>388</v>
      </c>
      <c r="G3" s="260" t="s">
        <v>389</v>
      </c>
      <c r="H3" s="261" t="s">
        <v>390</v>
      </c>
    </row>
    <row r="4" spans="1:8" ht="15" thickBot="1" x14ac:dyDescent="0.35">
      <c r="A4" s="258"/>
      <c r="B4" s="258"/>
      <c r="C4" s="258"/>
      <c r="D4" s="258"/>
      <c r="E4" s="258"/>
      <c r="F4" s="258"/>
      <c r="G4" s="258"/>
      <c r="H4" s="258"/>
    </row>
    <row r="5" spans="1:8" x14ac:dyDescent="0.3">
      <c r="A5" s="262" t="s">
        <v>391</v>
      </c>
      <c r="B5" s="263">
        <v>0</v>
      </c>
      <c r="C5" s="264">
        <v>0</v>
      </c>
      <c r="D5" s="265">
        <v>0</v>
      </c>
      <c r="E5" s="265">
        <v>0</v>
      </c>
      <c r="G5" s="266">
        <v>235234.64</v>
      </c>
      <c r="H5" s="267">
        <v>-100</v>
      </c>
    </row>
    <row r="6" spans="1:8" x14ac:dyDescent="0.3">
      <c r="A6" s="262" t="s">
        <v>392</v>
      </c>
      <c r="B6" s="263">
        <v>0</v>
      </c>
      <c r="C6" s="264">
        <v>0</v>
      </c>
      <c r="D6" s="265">
        <v>0</v>
      </c>
      <c r="E6" s="265">
        <v>0</v>
      </c>
      <c r="G6" s="266">
        <v>1990834.67</v>
      </c>
      <c r="H6" s="267">
        <v>-100</v>
      </c>
    </row>
    <row r="7" spans="1:8" x14ac:dyDescent="0.3">
      <c r="A7" s="262" t="s">
        <v>393</v>
      </c>
      <c r="B7" s="268">
        <v>1104428</v>
      </c>
      <c r="C7" s="264">
        <v>0</v>
      </c>
      <c r="D7" s="265">
        <v>0</v>
      </c>
      <c r="E7" s="269">
        <v>1104428</v>
      </c>
      <c r="G7" s="270">
        <v>0</v>
      </c>
      <c r="H7" s="271">
        <v>0</v>
      </c>
    </row>
    <row r="8" spans="1:8" x14ac:dyDescent="0.3">
      <c r="A8" s="262" t="s">
        <v>394</v>
      </c>
      <c r="B8" s="263">
        <v>0</v>
      </c>
      <c r="C8" s="264">
        <v>0</v>
      </c>
      <c r="D8" s="265">
        <v>0</v>
      </c>
      <c r="E8" s="265">
        <v>0</v>
      </c>
      <c r="G8" s="266">
        <v>516436.08</v>
      </c>
      <c r="H8" s="267">
        <v>-100</v>
      </c>
    </row>
    <row r="9" spans="1:8" x14ac:dyDescent="0.3">
      <c r="A9" s="262" t="s">
        <v>395</v>
      </c>
      <c r="B9" s="263">
        <v>0</v>
      </c>
      <c r="C9" s="264">
        <v>0</v>
      </c>
      <c r="D9" s="265">
        <v>0</v>
      </c>
      <c r="E9" s="265">
        <v>0</v>
      </c>
      <c r="G9" s="266">
        <v>79755.62</v>
      </c>
      <c r="H9" s="267">
        <v>-100</v>
      </c>
    </row>
    <row r="10" spans="1:8" x14ac:dyDescent="0.3">
      <c r="A10" s="262" t="s">
        <v>396</v>
      </c>
      <c r="B10" s="268">
        <v>101</v>
      </c>
      <c r="C10" s="264">
        <v>0</v>
      </c>
      <c r="D10" s="265">
        <v>0</v>
      </c>
      <c r="E10" s="269">
        <v>101</v>
      </c>
      <c r="G10" s="266">
        <v>120.27</v>
      </c>
      <c r="H10" s="267">
        <v>-16</v>
      </c>
    </row>
    <row r="11" spans="1:8" x14ac:dyDescent="0.3">
      <c r="A11" s="262" t="s">
        <v>397</v>
      </c>
      <c r="B11" s="268">
        <v>3375</v>
      </c>
      <c r="C11" s="264">
        <v>0</v>
      </c>
      <c r="D11" s="265">
        <v>0</v>
      </c>
      <c r="E11" s="269">
        <v>3375</v>
      </c>
      <c r="G11" s="266">
        <v>3800</v>
      </c>
      <c r="H11" s="267">
        <v>-11</v>
      </c>
    </row>
    <row r="12" spans="1:8" x14ac:dyDescent="0.3">
      <c r="A12" s="262" t="s">
        <v>398</v>
      </c>
      <c r="B12" s="272">
        <v>10595</v>
      </c>
      <c r="C12" s="273">
        <v>0</v>
      </c>
      <c r="D12" s="274">
        <v>0</v>
      </c>
      <c r="E12" s="275">
        <v>10595</v>
      </c>
      <c r="G12" s="276">
        <v>54001.73</v>
      </c>
      <c r="H12" s="277">
        <v>-80</v>
      </c>
    </row>
    <row r="13" spans="1:8" x14ac:dyDescent="0.3">
      <c r="A13" s="278" t="s">
        <v>399</v>
      </c>
      <c r="B13" s="269">
        <v>1118499</v>
      </c>
      <c r="C13" s="265">
        <v>0</v>
      </c>
      <c r="D13" s="265">
        <v>0</v>
      </c>
      <c r="E13" s="269">
        <v>1118499</v>
      </c>
      <c r="G13" s="269">
        <v>2880183.01</v>
      </c>
      <c r="H13" s="267">
        <v>-61</v>
      </c>
    </row>
    <row r="15" spans="1:8" x14ac:dyDescent="0.3">
      <c r="A15" s="262" t="s">
        <v>400</v>
      </c>
      <c r="B15" s="268">
        <v>277185</v>
      </c>
      <c r="C15" s="264">
        <v>0</v>
      </c>
      <c r="D15" s="265">
        <v>0</v>
      </c>
      <c r="E15" s="269">
        <v>277185</v>
      </c>
      <c r="G15" s="266">
        <v>258295.07</v>
      </c>
      <c r="H15" s="279">
        <v>7</v>
      </c>
    </row>
    <row r="16" spans="1:8" x14ac:dyDescent="0.3">
      <c r="A16" s="262" t="s">
        <v>401</v>
      </c>
      <c r="B16" s="268">
        <v>172808</v>
      </c>
      <c r="C16" s="264">
        <v>0</v>
      </c>
      <c r="D16" s="265">
        <v>0</v>
      </c>
      <c r="E16" s="269">
        <v>172808</v>
      </c>
      <c r="G16" s="266">
        <v>154165</v>
      </c>
      <c r="H16" s="279">
        <v>12</v>
      </c>
    </row>
    <row r="17" spans="1:10" x14ac:dyDescent="0.3">
      <c r="A17" s="262" t="s">
        <v>402</v>
      </c>
      <c r="B17" s="272">
        <v>525084</v>
      </c>
      <c r="C17" s="273">
        <v>0</v>
      </c>
      <c r="D17" s="274">
        <v>0</v>
      </c>
      <c r="E17" s="275">
        <v>525084</v>
      </c>
      <c r="G17" s="280">
        <v>0</v>
      </c>
      <c r="H17" s="281">
        <v>0</v>
      </c>
      <c r="J17" s="381">
        <f>+E17-525261</f>
        <v>-177</v>
      </c>
    </row>
    <row r="18" spans="1:10" x14ac:dyDescent="0.3">
      <c r="A18" s="278" t="s">
        <v>403</v>
      </c>
      <c r="B18" s="269">
        <v>975077</v>
      </c>
      <c r="C18" s="265">
        <v>0</v>
      </c>
      <c r="D18" s="265">
        <v>0</v>
      </c>
      <c r="E18" s="269">
        <v>975077</v>
      </c>
      <c r="G18" s="269">
        <v>412460.07</v>
      </c>
      <c r="H18" s="279">
        <v>136</v>
      </c>
    </row>
    <row r="20" spans="1:10" x14ac:dyDescent="0.3">
      <c r="A20" s="262" t="s">
        <v>404</v>
      </c>
      <c r="B20" s="272">
        <v>615104</v>
      </c>
      <c r="C20" s="273">
        <v>0</v>
      </c>
      <c r="D20" s="274">
        <v>0</v>
      </c>
      <c r="E20" s="275">
        <v>615104</v>
      </c>
      <c r="G20" s="276">
        <v>869889.38</v>
      </c>
      <c r="H20" s="277">
        <v>-29</v>
      </c>
    </row>
    <row r="21" spans="1:10" x14ac:dyDescent="0.3">
      <c r="A21" s="278" t="s">
        <v>405</v>
      </c>
      <c r="B21" s="269">
        <v>615104</v>
      </c>
      <c r="C21" s="265">
        <v>0</v>
      </c>
      <c r="D21" s="265">
        <v>0</v>
      </c>
      <c r="E21" s="269">
        <v>615104</v>
      </c>
      <c r="G21" s="269">
        <v>869889.38</v>
      </c>
      <c r="H21" s="267">
        <v>-29</v>
      </c>
    </row>
    <row r="23" spans="1:10" x14ac:dyDescent="0.3">
      <c r="A23" s="262" t="s">
        <v>406</v>
      </c>
      <c r="B23" s="272">
        <v>1726113</v>
      </c>
      <c r="C23" s="273">
        <v>0</v>
      </c>
      <c r="D23" s="274">
        <v>0</v>
      </c>
      <c r="E23" s="275">
        <v>1726113</v>
      </c>
      <c r="G23" s="280">
        <v>0</v>
      </c>
      <c r="H23" s="281">
        <v>0</v>
      </c>
    </row>
    <row r="24" spans="1:10" x14ac:dyDescent="0.3">
      <c r="A24" s="278" t="s">
        <v>407</v>
      </c>
      <c r="B24" s="269">
        <v>1726113</v>
      </c>
      <c r="C24" s="265">
        <v>0</v>
      </c>
      <c r="D24" s="265">
        <v>0</v>
      </c>
      <c r="E24" s="269">
        <v>1726113</v>
      </c>
      <c r="G24" s="265">
        <v>0</v>
      </c>
      <c r="H24" s="271">
        <v>0</v>
      </c>
    </row>
    <row r="26" spans="1:10" x14ac:dyDescent="0.3">
      <c r="A26" s="262" t="s">
        <v>408</v>
      </c>
      <c r="B26" s="282">
        <v>-5249</v>
      </c>
      <c r="C26" s="283">
        <v>-7906</v>
      </c>
      <c r="D26" s="265">
        <v>0</v>
      </c>
      <c r="E26" s="284">
        <v>-13155</v>
      </c>
      <c r="G26" s="285">
        <v>-5249</v>
      </c>
      <c r="H26" s="279">
        <v>151</v>
      </c>
    </row>
    <row r="27" spans="1:10" x14ac:dyDescent="0.3">
      <c r="A27" s="262" t="s">
        <v>409</v>
      </c>
      <c r="B27" s="272">
        <v>271178</v>
      </c>
      <c r="C27" s="273">
        <v>0</v>
      </c>
      <c r="D27" s="274">
        <v>0</v>
      </c>
      <c r="E27" s="275">
        <v>271178</v>
      </c>
      <c r="G27" s="276">
        <v>135985.42000000001</v>
      </c>
      <c r="H27" s="286">
        <v>99</v>
      </c>
    </row>
    <row r="28" spans="1:10" x14ac:dyDescent="0.3">
      <c r="A28" s="278" t="s">
        <v>410</v>
      </c>
      <c r="B28" s="269">
        <v>265929</v>
      </c>
      <c r="C28" s="284">
        <v>-7906</v>
      </c>
      <c r="D28" s="265">
        <v>0</v>
      </c>
      <c r="E28" s="269">
        <v>258023</v>
      </c>
      <c r="G28" s="269">
        <v>130736.42</v>
      </c>
      <c r="H28" s="279">
        <v>97</v>
      </c>
    </row>
    <row r="30" spans="1:10" x14ac:dyDescent="0.3">
      <c r="A30" s="262" t="s">
        <v>411</v>
      </c>
      <c r="B30" s="287">
        <v>0</v>
      </c>
      <c r="C30" s="273">
        <v>0</v>
      </c>
      <c r="D30" s="274">
        <v>0</v>
      </c>
      <c r="E30" s="274">
        <v>0</v>
      </c>
      <c r="G30" s="276">
        <v>3705.87</v>
      </c>
      <c r="H30" s="277">
        <v>-100</v>
      </c>
    </row>
    <row r="31" spans="1:10" x14ac:dyDescent="0.3">
      <c r="A31" s="278" t="s">
        <v>412</v>
      </c>
      <c r="B31" s="265">
        <v>0</v>
      </c>
      <c r="C31" s="265">
        <v>0</v>
      </c>
      <c r="D31" s="265">
        <v>0</v>
      </c>
      <c r="E31" s="265">
        <v>0</v>
      </c>
      <c r="G31" s="269">
        <v>3705.87</v>
      </c>
      <c r="H31" s="267">
        <v>-100</v>
      </c>
    </row>
    <row r="33" spans="1:8" x14ac:dyDescent="0.3">
      <c r="A33" s="262" t="s">
        <v>413</v>
      </c>
      <c r="B33" s="272">
        <v>29175</v>
      </c>
      <c r="C33" s="273">
        <v>0</v>
      </c>
      <c r="D33" s="274">
        <v>0</v>
      </c>
      <c r="E33" s="275">
        <v>29175</v>
      </c>
      <c r="G33" s="276">
        <v>29174.76</v>
      </c>
      <c r="H33" s="281">
        <v>0</v>
      </c>
    </row>
    <row r="34" spans="1:8" x14ac:dyDescent="0.3">
      <c r="A34" s="278" t="s">
        <v>414</v>
      </c>
      <c r="B34" s="269">
        <v>29175</v>
      </c>
      <c r="C34" s="265">
        <v>0</v>
      </c>
      <c r="D34" s="265">
        <v>0</v>
      </c>
      <c r="E34" s="269">
        <v>29175</v>
      </c>
      <c r="G34" s="269">
        <v>29174.76</v>
      </c>
      <c r="H34" s="271">
        <v>0</v>
      </c>
    </row>
    <row r="36" spans="1:8" x14ac:dyDescent="0.3">
      <c r="A36" s="262" t="s">
        <v>415</v>
      </c>
      <c r="B36" s="272">
        <v>2361</v>
      </c>
      <c r="C36" s="273">
        <v>0</v>
      </c>
      <c r="D36" s="274">
        <v>0</v>
      </c>
      <c r="E36" s="275">
        <v>2361</v>
      </c>
      <c r="G36" s="276">
        <v>3210</v>
      </c>
      <c r="H36" s="277">
        <v>-26</v>
      </c>
    </row>
    <row r="37" spans="1:8" x14ac:dyDescent="0.3">
      <c r="A37" s="278" t="s">
        <v>416</v>
      </c>
      <c r="B37" s="269">
        <v>2361</v>
      </c>
      <c r="C37" s="265">
        <v>0</v>
      </c>
      <c r="D37" s="265">
        <v>0</v>
      </c>
      <c r="E37" s="269">
        <v>2361</v>
      </c>
      <c r="G37" s="269">
        <v>3210</v>
      </c>
      <c r="H37" s="267">
        <v>-26</v>
      </c>
    </row>
    <row r="39" spans="1:8" x14ac:dyDescent="0.3">
      <c r="A39" s="262" t="s">
        <v>417</v>
      </c>
      <c r="B39" s="272">
        <v>45259</v>
      </c>
      <c r="C39" s="273">
        <v>0</v>
      </c>
      <c r="D39" s="274">
        <v>0</v>
      </c>
      <c r="E39" s="275">
        <v>45259</v>
      </c>
      <c r="G39" s="276">
        <v>63625.55</v>
      </c>
      <c r="H39" s="277">
        <v>-29</v>
      </c>
    </row>
    <row r="40" spans="1:8" x14ac:dyDescent="0.3">
      <c r="A40" s="278" t="s">
        <v>418</v>
      </c>
      <c r="B40" s="269">
        <v>45259</v>
      </c>
      <c r="C40" s="265">
        <v>0</v>
      </c>
      <c r="D40" s="265">
        <v>0</v>
      </c>
      <c r="E40" s="269">
        <v>45259</v>
      </c>
      <c r="G40" s="269">
        <v>63625.55</v>
      </c>
      <c r="H40" s="267">
        <v>-29</v>
      </c>
    </row>
    <row r="42" spans="1:8" x14ac:dyDescent="0.3">
      <c r="A42" s="262" t="s">
        <v>419</v>
      </c>
      <c r="B42" s="272">
        <v>40391</v>
      </c>
      <c r="C42" s="273">
        <v>0</v>
      </c>
      <c r="D42" s="274">
        <v>0</v>
      </c>
      <c r="E42" s="275">
        <v>40391</v>
      </c>
      <c r="G42" s="276">
        <v>40391.01</v>
      </c>
      <c r="H42" s="281">
        <v>0</v>
      </c>
    </row>
    <row r="43" spans="1:8" x14ac:dyDescent="0.3">
      <c r="A43" s="278" t="s">
        <v>420</v>
      </c>
      <c r="B43" s="269">
        <v>40391</v>
      </c>
      <c r="C43" s="265">
        <v>0</v>
      </c>
      <c r="D43" s="265">
        <v>0</v>
      </c>
      <c r="E43" s="269">
        <v>40391</v>
      </c>
      <c r="G43" s="269">
        <v>40391.01</v>
      </c>
      <c r="H43" s="271">
        <v>0</v>
      </c>
    </row>
    <row r="45" spans="1:8" x14ac:dyDescent="0.3">
      <c r="A45" s="262" t="s">
        <v>421</v>
      </c>
      <c r="B45" s="288">
        <v>-33952</v>
      </c>
      <c r="C45" s="273">
        <v>0</v>
      </c>
      <c r="D45" s="274">
        <v>0</v>
      </c>
      <c r="E45" s="289">
        <v>-33952</v>
      </c>
      <c r="G45" s="290">
        <v>-30667</v>
      </c>
      <c r="H45" s="286">
        <v>11</v>
      </c>
    </row>
    <row r="46" spans="1:8" x14ac:dyDescent="0.3">
      <c r="A46" s="278" t="s">
        <v>422</v>
      </c>
      <c r="B46" s="284">
        <v>-33952</v>
      </c>
      <c r="C46" s="265">
        <v>0</v>
      </c>
      <c r="D46" s="265">
        <v>0</v>
      </c>
      <c r="E46" s="284">
        <v>-33952</v>
      </c>
      <c r="G46" s="284">
        <v>-30667</v>
      </c>
      <c r="H46" s="279">
        <v>11</v>
      </c>
    </row>
    <row r="48" spans="1:8" x14ac:dyDescent="0.3">
      <c r="A48" s="262" t="s">
        <v>423</v>
      </c>
      <c r="B48" s="268">
        <v>368045</v>
      </c>
      <c r="C48" s="291">
        <v>393702</v>
      </c>
      <c r="D48" s="265">
        <v>0</v>
      </c>
      <c r="E48" s="269">
        <v>761747</v>
      </c>
      <c r="G48" s="266">
        <v>368045</v>
      </c>
      <c r="H48" s="279">
        <v>107</v>
      </c>
    </row>
    <row r="49" spans="1:8" x14ac:dyDescent="0.3">
      <c r="A49" s="262" t="s">
        <v>424</v>
      </c>
      <c r="B49" s="288">
        <v>-25155</v>
      </c>
      <c r="C49" s="292">
        <v>-180028</v>
      </c>
      <c r="D49" s="274">
        <v>0</v>
      </c>
      <c r="E49" s="289">
        <v>-205183</v>
      </c>
      <c r="G49" s="290">
        <v>-25155</v>
      </c>
      <c r="H49" s="286">
        <v>716</v>
      </c>
    </row>
    <row r="50" spans="1:8" x14ac:dyDescent="0.3">
      <c r="A50" s="278" t="s">
        <v>425</v>
      </c>
      <c r="B50" s="269">
        <v>342890</v>
      </c>
      <c r="C50" s="269">
        <v>213674</v>
      </c>
      <c r="D50" s="265">
        <v>0</v>
      </c>
      <c r="E50" s="269">
        <v>556564</v>
      </c>
      <c r="G50" s="269">
        <v>342890</v>
      </c>
      <c r="H50" s="279">
        <v>62</v>
      </c>
    </row>
    <row r="52" spans="1:8" x14ac:dyDescent="0.3">
      <c r="A52" s="262" t="s">
        <v>426</v>
      </c>
      <c r="B52" s="288">
        <v>-795251</v>
      </c>
      <c r="C52" s="273">
        <v>0</v>
      </c>
      <c r="D52" s="274">
        <v>0</v>
      </c>
      <c r="E52" s="289">
        <v>-795251</v>
      </c>
      <c r="G52" s="290">
        <v>-227448.76</v>
      </c>
      <c r="H52" s="286">
        <v>250</v>
      </c>
    </row>
    <row r="53" spans="1:8" x14ac:dyDescent="0.3">
      <c r="A53" s="278" t="s">
        <v>427</v>
      </c>
      <c r="B53" s="284">
        <v>-795251</v>
      </c>
      <c r="C53" s="265">
        <v>0</v>
      </c>
      <c r="D53" s="265">
        <v>0</v>
      </c>
      <c r="E53" s="284">
        <v>-795251</v>
      </c>
      <c r="G53" s="284">
        <v>-227448.76</v>
      </c>
      <c r="H53" s="279">
        <v>250</v>
      </c>
    </row>
    <row r="55" spans="1:8" x14ac:dyDescent="0.3">
      <c r="A55" s="262" t="s">
        <v>428</v>
      </c>
      <c r="B55" s="282">
        <v>-217917</v>
      </c>
      <c r="C55" s="264">
        <v>0</v>
      </c>
      <c r="D55" s="265">
        <v>0</v>
      </c>
      <c r="E55" s="284">
        <v>-217917</v>
      </c>
      <c r="G55" s="285">
        <v>-11293.05</v>
      </c>
      <c r="H55" s="279">
        <v>1830</v>
      </c>
    </row>
    <row r="56" spans="1:8" x14ac:dyDescent="0.3">
      <c r="A56" s="262" t="s">
        <v>429</v>
      </c>
      <c r="B56" s="282">
        <v>-26301</v>
      </c>
      <c r="C56" s="264">
        <v>0</v>
      </c>
      <c r="D56" s="265">
        <v>0</v>
      </c>
      <c r="E56" s="284">
        <v>-26301</v>
      </c>
      <c r="G56" s="285">
        <v>-32074.959999999999</v>
      </c>
      <c r="H56" s="267">
        <v>-18</v>
      </c>
    </row>
    <row r="57" spans="1:8" x14ac:dyDescent="0.3">
      <c r="A57" s="262" t="s">
        <v>430</v>
      </c>
      <c r="B57" s="282">
        <v>-10574</v>
      </c>
      <c r="C57" s="264">
        <v>0</v>
      </c>
      <c r="D57" s="265">
        <v>0</v>
      </c>
      <c r="E57" s="284">
        <v>-10574</v>
      </c>
      <c r="G57" s="285">
        <v>-6214.22</v>
      </c>
      <c r="H57" s="279">
        <v>70</v>
      </c>
    </row>
    <row r="58" spans="1:8" x14ac:dyDescent="0.3">
      <c r="A58" s="262" t="s">
        <v>431</v>
      </c>
      <c r="B58" s="288">
        <v>-23112</v>
      </c>
      <c r="C58" s="273">
        <v>0</v>
      </c>
      <c r="D58" s="274">
        <v>0</v>
      </c>
      <c r="E58" s="289">
        <v>-23112</v>
      </c>
      <c r="G58" s="280">
        <v>0</v>
      </c>
      <c r="H58" s="281">
        <v>0</v>
      </c>
    </row>
    <row r="59" spans="1:8" x14ac:dyDescent="0.3">
      <c r="A59" s="278" t="s">
        <v>432</v>
      </c>
      <c r="B59" s="284">
        <v>-277904</v>
      </c>
      <c r="C59" s="265">
        <v>0</v>
      </c>
      <c r="D59" s="265">
        <v>0</v>
      </c>
      <c r="E59" s="284">
        <v>-277904</v>
      </c>
      <c r="G59" s="284">
        <v>-49582.23</v>
      </c>
      <c r="H59" s="279">
        <v>460</v>
      </c>
    </row>
    <row r="61" spans="1:8" x14ac:dyDescent="0.3">
      <c r="A61" s="262" t="s">
        <v>433</v>
      </c>
      <c r="B61" s="282">
        <v>-1049</v>
      </c>
      <c r="C61" s="264">
        <v>0</v>
      </c>
      <c r="D61" s="265">
        <v>0</v>
      </c>
      <c r="E61" s="284">
        <v>-1049</v>
      </c>
      <c r="G61" s="285">
        <v>-2634.24</v>
      </c>
      <c r="H61" s="267">
        <v>-60</v>
      </c>
    </row>
    <row r="62" spans="1:8" x14ac:dyDescent="0.3">
      <c r="A62" s="262" t="s">
        <v>434</v>
      </c>
      <c r="B62" s="282">
        <v>-1081</v>
      </c>
      <c r="C62" s="264">
        <v>0</v>
      </c>
      <c r="D62" s="265">
        <v>0</v>
      </c>
      <c r="E62" s="284">
        <v>-1081</v>
      </c>
      <c r="G62" s="266">
        <v>10066.51</v>
      </c>
      <c r="H62" s="267">
        <v>-111</v>
      </c>
    </row>
    <row r="63" spans="1:8" x14ac:dyDescent="0.3">
      <c r="A63" s="262" t="s">
        <v>435</v>
      </c>
      <c r="B63" s="288">
        <v>-34009</v>
      </c>
      <c r="C63" s="273">
        <v>0</v>
      </c>
      <c r="D63" s="274">
        <v>0</v>
      </c>
      <c r="E63" s="289">
        <v>-34009</v>
      </c>
      <c r="G63" s="276">
        <v>24405.360000000001</v>
      </c>
      <c r="H63" s="277">
        <v>-239</v>
      </c>
    </row>
    <row r="64" spans="1:8" x14ac:dyDescent="0.3">
      <c r="A64" s="278" t="s">
        <v>436</v>
      </c>
      <c r="B64" s="284">
        <v>-36139</v>
      </c>
      <c r="C64" s="265">
        <v>0</v>
      </c>
      <c r="D64" s="265">
        <v>0</v>
      </c>
      <c r="E64" s="284">
        <v>-36139</v>
      </c>
      <c r="G64" s="269">
        <v>31837.63</v>
      </c>
      <c r="H64" s="267">
        <v>-214</v>
      </c>
    </row>
    <row r="66" spans="1:8" x14ac:dyDescent="0.3">
      <c r="A66" s="262" t="s">
        <v>437</v>
      </c>
      <c r="B66" s="288">
        <v>-157988</v>
      </c>
      <c r="C66" s="273">
        <v>0</v>
      </c>
      <c r="D66" s="274">
        <v>0</v>
      </c>
      <c r="E66" s="289">
        <v>-157988</v>
      </c>
      <c r="G66" s="290">
        <v>-112544.16</v>
      </c>
      <c r="H66" s="286">
        <v>40</v>
      </c>
    </row>
    <row r="67" spans="1:8" x14ac:dyDescent="0.3">
      <c r="A67" s="278" t="s">
        <v>438</v>
      </c>
      <c r="B67" s="284">
        <v>-157988</v>
      </c>
      <c r="C67" s="265">
        <v>0</v>
      </c>
      <c r="D67" s="265">
        <v>0</v>
      </c>
      <c r="E67" s="284">
        <v>-157988</v>
      </c>
      <c r="G67" s="284">
        <v>-112544.16</v>
      </c>
      <c r="H67" s="279">
        <v>40</v>
      </c>
    </row>
    <row r="69" spans="1:8" x14ac:dyDescent="0.3">
      <c r="A69" s="262" t="s">
        <v>439</v>
      </c>
      <c r="B69" s="282">
        <v>-10989</v>
      </c>
      <c r="C69" s="264">
        <v>0</v>
      </c>
      <c r="D69" s="265">
        <v>0</v>
      </c>
      <c r="E69" s="284">
        <v>-10989</v>
      </c>
      <c r="G69" s="285">
        <v>-3317.85</v>
      </c>
      <c r="H69" s="279">
        <v>231</v>
      </c>
    </row>
    <row r="70" spans="1:8" x14ac:dyDescent="0.3">
      <c r="A70" s="262" t="s">
        <v>440</v>
      </c>
      <c r="B70" s="288">
        <v>-309</v>
      </c>
      <c r="C70" s="273">
        <v>0</v>
      </c>
      <c r="D70" s="274">
        <v>0</v>
      </c>
      <c r="E70" s="289">
        <v>-309</v>
      </c>
      <c r="G70" s="280">
        <v>0</v>
      </c>
      <c r="H70" s="281">
        <v>0</v>
      </c>
    </row>
    <row r="71" spans="1:8" x14ac:dyDescent="0.3">
      <c r="A71" s="278" t="s">
        <v>441</v>
      </c>
      <c r="B71" s="284">
        <v>-11298</v>
      </c>
      <c r="C71" s="265">
        <v>0</v>
      </c>
      <c r="D71" s="265">
        <v>0</v>
      </c>
      <c r="E71" s="284">
        <v>-11298</v>
      </c>
      <c r="G71" s="284">
        <v>-3317.85</v>
      </c>
      <c r="H71" s="279">
        <v>241</v>
      </c>
    </row>
    <row r="73" spans="1:8" x14ac:dyDescent="0.3">
      <c r="A73" s="262" t="s">
        <v>442</v>
      </c>
      <c r="B73" s="288">
        <v>-342890</v>
      </c>
      <c r="C73" s="292">
        <v>-216802</v>
      </c>
      <c r="D73" s="274">
        <v>0</v>
      </c>
      <c r="E73" s="289">
        <v>-559692</v>
      </c>
      <c r="G73" s="290">
        <v>-342890</v>
      </c>
      <c r="H73" s="286">
        <v>63</v>
      </c>
    </row>
    <row r="74" spans="1:8" x14ac:dyDescent="0.3">
      <c r="A74" s="278" t="s">
        <v>443</v>
      </c>
      <c r="B74" s="284">
        <v>-342890</v>
      </c>
      <c r="C74" s="284">
        <v>-216802</v>
      </c>
      <c r="D74" s="265">
        <v>0</v>
      </c>
      <c r="E74" s="284">
        <v>-559692</v>
      </c>
      <c r="G74" s="284">
        <v>-342890</v>
      </c>
      <c r="H74" s="279">
        <v>63</v>
      </c>
    </row>
    <row r="76" spans="1:8" x14ac:dyDescent="0.3">
      <c r="A76" s="262" t="s">
        <v>444</v>
      </c>
      <c r="B76" s="288">
        <v>-1054229</v>
      </c>
      <c r="C76" s="273">
        <v>0</v>
      </c>
      <c r="D76" s="274">
        <v>0</v>
      </c>
      <c r="E76" s="289">
        <v>-1054229</v>
      </c>
      <c r="G76" s="280">
        <v>0</v>
      </c>
      <c r="H76" s="281">
        <v>0</v>
      </c>
    </row>
    <row r="77" spans="1:8" x14ac:dyDescent="0.3">
      <c r="A77" s="278" t="s">
        <v>445</v>
      </c>
      <c r="B77" s="284">
        <v>-1054229</v>
      </c>
      <c r="C77" s="265">
        <v>0</v>
      </c>
      <c r="D77" s="265">
        <v>0</v>
      </c>
      <c r="E77" s="284">
        <v>-1054229</v>
      </c>
      <c r="G77" s="265">
        <v>0</v>
      </c>
      <c r="H77" s="271">
        <v>0</v>
      </c>
    </row>
    <row r="79" spans="1:8" x14ac:dyDescent="0.3">
      <c r="A79" s="262" t="s">
        <v>446</v>
      </c>
      <c r="B79" s="288">
        <v>-2336370</v>
      </c>
      <c r="C79" s="273">
        <v>0</v>
      </c>
      <c r="D79" s="274">
        <v>0</v>
      </c>
      <c r="E79" s="289">
        <v>-2336370</v>
      </c>
      <c r="G79" s="290">
        <v>-3581237.28</v>
      </c>
      <c r="H79" s="277">
        <v>-35</v>
      </c>
    </row>
    <row r="80" spans="1:8" x14ac:dyDescent="0.3">
      <c r="A80" s="278" t="s">
        <v>447</v>
      </c>
      <c r="B80" s="284">
        <v>-2336370</v>
      </c>
      <c r="C80" s="265">
        <v>0</v>
      </c>
      <c r="D80" s="265">
        <v>0</v>
      </c>
      <c r="E80" s="284">
        <v>-2336370</v>
      </c>
      <c r="G80" s="284">
        <v>-3581237.28</v>
      </c>
      <c r="H80" s="267">
        <v>-35</v>
      </c>
    </row>
    <row r="82" spans="1:11" x14ac:dyDescent="0.3">
      <c r="A82" s="262" t="s">
        <v>448</v>
      </c>
      <c r="B82" s="282">
        <v>-114778</v>
      </c>
      <c r="C82" s="264">
        <v>0</v>
      </c>
      <c r="D82" s="265">
        <v>0</v>
      </c>
      <c r="E82" s="284">
        <v>-114778</v>
      </c>
      <c r="G82" s="285">
        <v>-472280.93</v>
      </c>
      <c r="H82" s="267">
        <v>-76</v>
      </c>
    </row>
    <row r="83" spans="1:11" x14ac:dyDescent="0.3">
      <c r="A83" s="262" t="s">
        <v>449</v>
      </c>
      <c r="B83" s="288">
        <v>-1590506</v>
      </c>
      <c r="C83" s="273">
        <v>0</v>
      </c>
      <c r="D83" s="274">
        <v>0</v>
      </c>
      <c r="E83" s="289">
        <v>-1590506</v>
      </c>
      <c r="G83" s="276">
        <v>2287215.83</v>
      </c>
      <c r="H83" s="277">
        <v>-170</v>
      </c>
    </row>
    <row r="84" spans="1:11" x14ac:dyDescent="0.3">
      <c r="A84" s="278" t="s">
        <v>450</v>
      </c>
      <c r="B84" s="284">
        <v>-1705284</v>
      </c>
      <c r="C84" s="265">
        <v>0</v>
      </c>
      <c r="D84" s="265">
        <v>0</v>
      </c>
      <c r="E84" s="284">
        <v>-1705284</v>
      </c>
      <c r="G84" s="269">
        <v>1814934.9</v>
      </c>
      <c r="H84" s="267">
        <v>-194</v>
      </c>
    </row>
    <row r="86" spans="1:11" x14ac:dyDescent="0.3">
      <c r="A86" s="262" t="s">
        <v>451</v>
      </c>
      <c r="B86" s="272">
        <v>1590507</v>
      </c>
      <c r="C86" s="293">
        <v>11034</v>
      </c>
      <c r="D86" s="274">
        <v>0</v>
      </c>
      <c r="E86" s="275">
        <v>1601541</v>
      </c>
      <c r="G86" s="290">
        <v>-2275351.3199999998</v>
      </c>
      <c r="H86" s="277">
        <v>-170</v>
      </c>
    </row>
    <row r="87" spans="1:11" x14ac:dyDescent="0.3">
      <c r="A87" s="278" t="s">
        <v>452</v>
      </c>
      <c r="B87" s="269">
        <v>1590507</v>
      </c>
      <c r="C87" s="269">
        <v>11034</v>
      </c>
      <c r="D87" s="265">
        <v>0</v>
      </c>
      <c r="E87" s="269">
        <v>1601541</v>
      </c>
      <c r="G87" s="284">
        <v>-2275351.3199999998</v>
      </c>
      <c r="H87" s="267">
        <v>-170</v>
      </c>
    </row>
    <row r="89" spans="1:11" x14ac:dyDescent="0.3">
      <c r="A89" s="262" t="s">
        <v>453</v>
      </c>
      <c r="B89" s="288">
        <v>-8394106</v>
      </c>
      <c r="C89" s="273">
        <v>0</v>
      </c>
      <c r="D89" s="274">
        <v>0</v>
      </c>
      <c r="E89" s="289">
        <v>-8394106</v>
      </c>
      <c r="G89" s="290">
        <v>-3754152.65</v>
      </c>
      <c r="H89" s="286">
        <v>124</v>
      </c>
    </row>
    <row r="90" spans="1:11" x14ac:dyDescent="0.3">
      <c r="A90" s="278" t="s">
        <v>454</v>
      </c>
      <c r="B90" s="284">
        <v>-8394106</v>
      </c>
      <c r="C90" s="265">
        <v>0</v>
      </c>
      <c r="D90" s="265">
        <v>0</v>
      </c>
      <c r="E90" s="284">
        <v>-8394106</v>
      </c>
      <c r="G90" s="284">
        <v>-3754152.65</v>
      </c>
      <c r="H90" s="279">
        <v>124</v>
      </c>
    </row>
    <row r="92" spans="1:11" x14ac:dyDescent="0.3">
      <c r="A92" s="262" t="s">
        <v>455</v>
      </c>
      <c r="B92" s="282">
        <v>-60000</v>
      </c>
      <c r="C92" s="264">
        <v>0</v>
      </c>
      <c r="D92" s="265">
        <v>0</v>
      </c>
      <c r="E92" s="284">
        <v>-60000</v>
      </c>
      <c r="G92" s="285">
        <v>-10400</v>
      </c>
      <c r="H92" s="279">
        <v>477</v>
      </c>
      <c r="K92" s="375"/>
    </row>
    <row r="93" spans="1:11" x14ac:dyDescent="0.3">
      <c r="A93" s="262" t="s">
        <v>456</v>
      </c>
      <c r="B93" s="282">
        <v>-100000</v>
      </c>
      <c r="C93" s="264">
        <v>0</v>
      </c>
      <c r="D93" s="265">
        <v>0</v>
      </c>
      <c r="E93" s="284">
        <v>-100000</v>
      </c>
      <c r="G93" s="270">
        <v>0</v>
      </c>
      <c r="H93" s="271">
        <v>0</v>
      </c>
      <c r="K93" s="375"/>
    </row>
    <row r="94" spans="1:11" x14ac:dyDescent="0.3">
      <c r="A94" s="262" t="s">
        <v>457</v>
      </c>
      <c r="B94" s="288">
        <v>-95000</v>
      </c>
      <c r="C94" s="273">
        <v>0</v>
      </c>
      <c r="D94" s="274">
        <v>0</v>
      </c>
      <c r="E94" s="289">
        <v>-95000</v>
      </c>
      <c r="G94" s="280">
        <v>0</v>
      </c>
      <c r="H94" s="281">
        <v>0</v>
      </c>
    </row>
    <row r="95" spans="1:11" x14ac:dyDescent="0.3">
      <c r="A95" s="278" t="s">
        <v>458</v>
      </c>
      <c r="B95" s="284">
        <v>-255000</v>
      </c>
      <c r="C95" s="265">
        <v>0</v>
      </c>
      <c r="D95" s="265">
        <v>0</v>
      </c>
      <c r="E95" s="313">
        <v>-255000</v>
      </c>
      <c r="G95" s="284">
        <v>-10400</v>
      </c>
      <c r="H95" s="279">
        <v>2352</v>
      </c>
    </row>
    <row r="97" spans="1:8" x14ac:dyDescent="0.3">
      <c r="A97" s="262" t="s">
        <v>459</v>
      </c>
      <c r="B97" s="282">
        <v>-311362</v>
      </c>
      <c r="C97" s="264">
        <v>0</v>
      </c>
      <c r="D97" s="265">
        <v>0</v>
      </c>
      <c r="E97" s="284">
        <v>-311362</v>
      </c>
      <c r="G97" s="285">
        <v>-421405.55</v>
      </c>
      <c r="H97" s="267">
        <v>-26</v>
      </c>
    </row>
    <row r="98" spans="1:8" x14ac:dyDescent="0.3">
      <c r="A98" s="262" t="s">
        <v>460</v>
      </c>
      <c r="B98" s="282">
        <v>-50</v>
      </c>
      <c r="C98" s="264">
        <v>0</v>
      </c>
      <c r="D98" s="265">
        <v>0</v>
      </c>
      <c r="E98" s="284">
        <v>-50</v>
      </c>
      <c r="G98" s="270">
        <v>0</v>
      </c>
      <c r="H98" s="271">
        <v>0</v>
      </c>
    </row>
    <row r="99" spans="1:8" x14ac:dyDescent="0.3">
      <c r="A99" s="262" t="s">
        <v>461</v>
      </c>
      <c r="B99" s="282">
        <v>-51618</v>
      </c>
      <c r="C99" s="264">
        <v>0</v>
      </c>
      <c r="D99" s="265">
        <v>0</v>
      </c>
      <c r="E99" s="284">
        <v>-51618</v>
      </c>
      <c r="G99" s="270">
        <v>0</v>
      </c>
      <c r="H99" s="271">
        <v>0</v>
      </c>
    </row>
    <row r="100" spans="1:8" x14ac:dyDescent="0.3">
      <c r="A100" s="262" t="s">
        <v>462</v>
      </c>
      <c r="B100" s="282">
        <v>-520130</v>
      </c>
      <c r="C100" s="264">
        <v>0</v>
      </c>
      <c r="D100" s="265">
        <v>0</v>
      </c>
      <c r="E100" s="284">
        <v>-520130</v>
      </c>
      <c r="G100" s="270">
        <v>0</v>
      </c>
      <c r="H100" s="271">
        <v>0</v>
      </c>
    </row>
    <row r="101" spans="1:8" x14ac:dyDescent="0.3">
      <c r="A101" s="262" t="s">
        <v>463</v>
      </c>
      <c r="B101" s="272">
        <v>9351</v>
      </c>
      <c r="C101" s="273">
        <v>0</v>
      </c>
      <c r="D101" s="274">
        <v>0</v>
      </c>
      <c r="E101" s="275">
        <v>9351</v>
      </c>
      <c r="G101" s="280">
        <v>0</v>
      </c>
      <c r="H101" s="281">
        <v>0</v>
      </c>
    </row>
    <row r="102" spans="1:8" x14ac:dyDescent="0.3">
      <c r="A102" s="278" t="s">
        <v>464</v>
      </c>
      <c r="B102" s="284">
        <v>-873809</v>
      </c>
      <c r="C102" s="265">
        <v>0</v>
      </c>
      <c r="D102" s="265">
        <v>0</v>
      </c>
      <c r="E102" s="284">
        <v>-873809</v>
      </c>
      <c r="G102" s="284">
        <v>-421405.55</v>
      </c>
      <c r="H102" s="279">
        <v>107</v>
      </c>
    </row>
    <row r="104" spans="1:8" x14ac:dyDescent="0.3">
      <c r="A104" s="262" t="s">
        <v>465</v>
      </c>
      <c r="B104" s="288">
        <v>-34712</v>
      </c>
      <c r="C104" s="273">
        <v>0</v>
      </c>
      <c r="D104" s="274">
        <v>0</v>
      </c>
      <c r="E104" s="289">
        <v>-34712</v>
      </c>
      <c r="G104" s="290">
        <v>-58834.91</v>
      </c>
      <c r="H104" s="277">
        <v>-41</v>
      </c>
    </row>
    <row r="105" spans="1:8" x14ac:dyDescent="0.3">
      <c r="A105" s="278" t="s">
        <v>466</v>
      </c>
      <c r="B105" s="284">
        <v>-34712</v>
      </c>
      <c r="C105" s="265">
        <v>0</v>
      </c>
      <c r="D105" s="265">
        <v>0</v>
      </c>
      <c r="E105" s="284">
        <v>-34712</v>
      </c>
      <c r="G105" s="284">
        <v>-58834.91</v>
      </c>
      <c r="H105" s="267">
        <v>-41</v>
      </c>
    </row>
    <row r="107" spans="1:8" x14ac:dyDescent="0.3">
      <c r="A107" s="262" t="s">
        <v>467</v>
      </c>
      <c r="B107" s="282">
        <v>-200842</v>
      </c>
      <c r="C107" s="264">
        <v>0</v>
      </c>
      <c r="D107" s="265">
        <v>0</v>
      </c>
      <c r="E107" s="284">
        <v>-200842</v>
      </c>
      <c r="G107" s="285">
        <v>-179756.91</v>
      </c>
      <c r="H107" s="279">
        <v>12</v>
      </c>
    </row>
    <row r="108" spans="1:8" x14ac:dyDescent="0.3">
      <c r="A108" s="262" t="s">
        <v>468</v>
      </c>
      <c r="B108" s="272">
        <v>48164</v>
      </c>
      <c r="C108" s="273">
        <v>0</v>
      </c>
      <c r="D108" s="274">
        <v>0</v>
      </c>
      <c r="E108" s="275">
        <v>48164</v>
      </c>
      <c r="G108" s="276">
        <v>33930.269999999997</v>
      </c>
      <c r="H108" s="286">
        <v>42</v>
      </c>
    </row>
    <row r="109" spans="1:8" x14ac:dyDescent="0.3">
      <c r="A109" s="278" t="s">
        <v>469</v>
      </c>
      <c r="B109" s="284">
        <v>-152678</v>
      </c>
      <c r="C109" s="265">
        <v>0</v>
      </c>
      <c r="D109" s="265">
        <v>0</v>
      </c>
      <c r="E109" s="284">
        <v>-152678</v>
      </c>
      <c r="G109" s="284">
        <v>-145826.64000000001</v>
      </c>
      <c r="H109" s="279">
        <v>5</v>
      </c>
    </row>
    <row r="111" spans="1:8" x14ac:dyDescent="0.3">
      <c r="A111" s="262" t="s">
        <v>470</v>
      </c>
      <c r="B111" s="263">
        <v>0</v>
      </c>
      <c r="C111" s="264">
        <v>0</v>
      </c>
      <c r="D111" s="265">
        <v>0</v>
      </c>
      <c r="E111" s="265">
        <v>0</v>
      </c>
      <c r="G111" s="285">
        <v>-860</v>
      </c>
      <c r="H111" s="267">
        <v>-100</v>
      </c>
    </row>
    <row r="112" spans="1:8" x14ac:dyDescent="0.3">
      <c r="A112" s="262" t="s">
        <v>471</v>
      </c>
      <c r="B112" s="288">
        <v>-12254</v>
      </c>
      <c r="C112" s="273">
        <v>0</v>
      </c>
      <c r="D112" s="274">
        <v>0</v>
      </c>
      <c r="E112" s="289">
        <v>-12254</v>
      </c>
      <c r="G112" s="290">
        <v>-41698.300000000003</v>
      </c>
      <c r="H112" s="277">
        <v>-71</v>
      </c>
    </row>
    <row r="113" spans="1:13" x14ac:dyDescent="0.3">
      <c r="A113" s="278" t="s">
        <v>472</v>
      </c>
      <c r="B113" s="284">
        <v>-12254</v>
      </c>
      <c r="C113" s="265">
        <v>0</v>
      </c>
      <c r="D113" s="265">
        <v>0</v>
      </c>
      <c r="E113" s="284">
        <v>-12254</v>
      </c>
      <c r="G113" s="284">
        <v>-42558.3</v>
      </c>
      <c r="H113" s="267">
        <v>-71</v>
      </c>
      <c r="K113" s="365"/>
    </row>
    <row r="114" spans="1:13" x14ac:dyDescent="0.3">
      <c r="L114" s="366"/>
    </row>
    <row r="115" spans="1:13" x14ac:dyDescent="0.3">
      <c r="A115" s="262" t="s">
        <v>473</v>
      </c>
      <c r="B115" s="288">
        <v>-148992</v>
      </c>
      <c r="C115" s="293">
        <v>103625</v>
      </c>
      <c r="D115" s="274">
        <v>0</v>
      </c>
      <c r="E115" s="289">
        <v>-45367</v>
      </c>
      <c r="G115" s="290">
        <v>-23462.99</v>
      </c>
      <c r="H115" s="286">
        <v>93</v>
      </c>
      <c r="K115" s="365"/>
    </row>
    <row r="116" spans="1:13" x14ac:dyDescent="0.3">
      <c r="A116" s="278" t="s">
        <v>474</v>
      </c>
      <c r="B116" s="284">
        <v>-148992</v>
      </c>
      <c r="C116" s="269">
        <v>103625</v>
      </c>
      <c r="D116" s="265">
        <v>0</v>
      </c>
      <c r="E116" s="284">
        <v>-45367</v>
      </c>
      <c r="G116" s="284">
        <v>-23462.99</v>
      </c>
      <c r="H116" s="279">
        <v>93</v>
      </c>
    </row>
    <row r="117" spans="1:13" x14ac:dyDescent="0.3">
      <c r="M117" s="365"/>
    </row>
    <row r="118" spans="1:13" x14ac:dyDescent="0.3">
      <c r="A118" s="262" t="s">
        <v>475</v>
      </c>
      <c r="B118" s="282">
        <v>-27092</v>
      </c>
      <c r="C118" s="291">
        <v>16763</v>
      </c>
      <c r="D118" s="265">
        <v>0</v>
      </c>
      <c r="E118" s="284">
        <v>-10329</v>
      </c>
      <c r="G118" s="285">
        <v>-12581</v>
      </c>
      <c r="H118" s="267">
        <v>-18</v>
      </c>
      <c r="M118" s="366"/>
    </row>
    <row r="119" spans="1:13" x14ac:dyDescent="0.3">
      <c r="A119" s="262" t="s">
        <v>476</v>
      </c>
      <c r="B119" s="288">
        <v>-7369</v>
      </c>
      <c r="C119" s="292">
        <v>-120388</v>
      </c>
      <c r="D119" s="274">
        <v>0</v>
      </c>
      <c r="E119" s="289">
        <v>-127757</v>
      </c>
      <c r="G119" s="280">
        <v>0</v>
      </c>
      <c r="H119" s="281">
        <v>0</v>
      </c>
      <c r="K119" s="365"/>
    </row>
    <row r="120" spans="1:13" x14ac:dyDescent="0.3">
      <c r="A120" s="278" t="s">
        <v>477</v>
      </c>
      <c r="B120" s="284">
        <v>-34461</v>
      </c>
      <c r="C120" s="284">
        <v>-103625</v>
      </c>
      <c r="D120" s="265">
        <v>0</v>
      </c>
      <c r="E120" s="284">
        <v>-138086</v>
      </c>
      <c r="G120" s="284">
        <v>-12581</v>
      </c>
      <c r="H120" s="279">
        <v>998</v>
      </c>
      <c r="K120" s="365"/>
    </row>
    <row r="122" spans="1:13" x14ac:dyDescent="0.3">
      <c r="A122" s="262" t="s">
        <v>478</v>
      </c>
      <c r="B122" s="268">
        <v>2522775</v>
      </c>
      <c r="C122" s="264">
        <v>0</v>
      </c>
      <c r="D122" s="265">
        <v>0</v>
      </c>
      <c r="E122" s="269">
        <v>2522775</v>
      </c>
      <c r="G122" s="266">
        <v>1546483.5</v>
      </c>
      <c r="H122" s="279">
        <v>63</v>
      </c>
    </row>
    <row r="123" spans="1:13" x14ac:dyDescent="0.3">
      <c r="A123" s="262" t="s">
        <v>479</v>
      </c>
      <c r="B123" s="282">
        <v>-618128</v>
      </c>
      <c r="C123" s="264">
        <v>0</v>
      </c>
      <c r="D123" s="265">
        <v>0</v>
      </c>
      <c r="E123" s="284">
        <v>-618128</v>
      </c>
      <c r="G123" s="285">
        <v>-3984593.32</v>
      </c>
      <c r="H123" s="267">
        <v>-84</v>
      </c>
    </row>
    <row r="124" spans="1:13" x14ac:dyDescent="0.3">
      <c r="A124" s="262" t="s">
        <v>480</v>
      </c>
      <c r="B124" s="288">
        <v>-2522775</v>
      </c>
      <c r="C124" s="273">
        <v>0</v>
      </c>
      <c r="D124" s="274">
        <v>0</v>
      </c>
      <c r="E124" s="289">
        <v>-2522775</v>
      </c>
      <c r="G124" s="290">
        <v>-1546483.5</v>
      </c>
      <c r="H124" s="286">
        <v>63</v>
      </c>
    </row>
    <row r="125" spans="1:13" x14ac:dyDescent="0.3">
      <c r="A125" s="278" t="s">
        <v>481</v>
      </c>
      <c r="B125" s="284">
        <v>-618128</v>
      </c>
      <c r="C125" s="265">
        <v>0</v>
      </c>
      <c r="D125" s="265">
        <v>0</v>
      </c>
      <c r="E125" s="313">
        <v>-618128</v>
      </c>
      <c r="G125" s="284">
        <v>-3984593.32</v>
      </c>
      <c r="H125" s="267">
        <v>-84</v>
      </c>
    </row>
    <row r="127" spans="1:13" x14ac:dyDescent="0.3">
      <c r="A127" s="262" t="s">
        <v>482</v>
      </c>
      <c r="B127" s="268">
        <v>3335308</v>
      </c>
      <c r="C127" s="264">
        <v>0</v>
      </c>
      <c r="D127" s="265">
        <v>0</v>
      </c>
      <c r="E127" s="269">
        <v>3335308</v>
      </c>
      <c r="G127" s="266">
        <v>2518263.66</v>
      </c>
      <c r="H127" s="279">
        <v>32</v>
      </c>
    </row>
    <row r="128" spans="1:13" x14ac:dyDescent="0.3">
      <c r="A128" s="262" t="s">
        <v>483</v>
      </c>
      <c r="B128" s="272">
        <v>45444</v>
      </c>
      <c r="C128" s="273">
        <v>0</v>
      </c>
      <c r="D128" s="274">
        <v>0</v>
      </c>
      <c r="E128" s="275">
        <v>45444</v>
      </c>
      <c r="G128" s="276">
        <v>21105.200000000001</v>
      </c>
      <c r="H128" s="286">
        <v>115</v>
      </c>
    </row>
    <row r="129" spans="1:8" x14ac:dyDescent="0.3">
      <c r="A129" s="278" t="s">
        <v>484</v>
      </c>
      <c r="B129" s="269">
        <v>3380752</v>
      </c>
      <c r="C129" s="265">
        <v>0</v>
      </c>
      <c r="D129" s="265">
        <v>0</v>
      </c>
      <c r="E129" s="269">
        <v>3380752</v>
      </c>
      <c r="G129" s="269">
        <v>2539368.86</v>
      </c>
      <c r="H129" s="279">
        <v>33</v>
      </c>
    </row>
    <row r="131" spans="1:8" x14ac:dyDescent="0.3">
      <c r="A131" s="262" t="s">
        <v>485</v>
      </c>
      <c r="B131" s="272">
        <v>272241</v>
      </c>
      <c r="C131" s="273">
        <v>0</v>
      </c>
      <c r="D131" s="274">
        <v>0</v>
      </c>
      <c r="E131" s="275">
        <v>272241</v>
      </c>
      <c r="G131" s="276">
        <v>197665.23</v>
      </c>
      <c r="H131" s="286">
        <v>38</v>
      </c>
    </row>
    <row r="132" spans="1:8" x14ac:dyDescent="0.3">
      <c r="A132" s="278" t="s">
        <v>486</v>
      </c>
      <c r="B132" s="269">
        <v>272241</v>
      </c>
      <c r="C132" s="265">
        <v>0</v>
      </c>
      <c r="D132" s="265">
        <v>0</v>
      </c>
      <c r="E132" s="269">
        <v>272241</v>
      </c>
      <c r="G132" s="269">
        <v>197665.23</v>
      </c>
      <c r="H132" s="279">
        <v>38</v>
      </c>
    </row>
    <row r="134" spans="1:8" x14ac:dyDescent="0.3">
      <c r="A134" s="262" t="s">
        <v>487</v>
      </c>
      <c r="B134" s="268">
        <v>381026</v>
      </c>
      <c r="C134" s="264">
        <v>0</v>
      </c>
      <c r="D134" s="265">
        <v>0</v>
      </c>
      <c r="E134" s="269">
        <v>381026</v>
      </c>
      <c r="G134" s="266">
        <v>215154.72</v>
      </c>
      <c r="H134" s="279">
        <v>77</v>
      </c>
    </row>
    <row r="135" spans="1:8" x14ac:dyDescent="0.3">
      <c r="A135" s="262" t="s">
        <v>488</v>
      </c>
      <c r="B135" s="268">
        <v>92825</v>
      </c>
      <c r="C135" s="264">
        <v>0</v>
      </c>
      <c r="D135" s="265">
        <v>0</v>
      </c>
      <c r="E135" s="269">
        <v>92825</v>
      </c>
      <c r="G135" s="266">
        <v>52956.38</v>
      </c>
      <c r="H135" s="279">
        <v>75</v>
      </c>
    </row>
    <row r="136" spans="1:8" x14ac:dyDescent="0.3">
      <c r="A136" s="262" t="s">
        <v>489</v>
      </c>
      <c r="B136" s="272">
        <v>74246</v>
      </c>
      <c r="C136" s="273">
        <v>0</v>
      </c>
      <c r="D136" s="274">
        <v>0</v>
      </c>
      <c r="E136" s="275">
        <v>74246</v>
      </c>
      <c r="G136" s="276">
        <v>10246.83</v>
      </c>
      <c r="H136" s="286">
        <v>625</v>
      </c>
    </row>
    <row r="137" spans="1:8" x14ac:dyDescent="0.3">
      <c r="A137" s="278" t="s">
        <v>490</v>
      </c>
      <c r="B137" s="269">
        <v>548097</v>
      </c>
      <c r="C137" s="265">
        <v>0</v>
      </c>
      <c r="D137" s="265">
        <v>0</v>
      </c>
      <c r="E137" s="269">
        <v>548097</v>
      </c>
      <c r="G137" s="269">
        <v>278357.93</v>
      </c>
      <c r="H137" s="279">
        <v>97</v>
      </c>
    </row>
    <row r="139" spans="1:8" x14ac:dyDescent="0.3">
      <c r="A139" s="262" t="s">
        <v>491</v>
      </c>
      <c r="B139" s="268">
        <v>14758</v>
      </c>
      <c r="C139" s="264">
        <v>0</v>
      </c>
      <c r="D139" s="265">
        <v>0</v>
      </c>
      <c r="E139" s="269">
        <v>14758</v>
      </c>
      <c r="G139" s="266">
        <v>3338.86</v>
      </c>
      <c r="H139" s="279">
        <v>342</v>
      </c>
    </row>
    <row r="140" spans="1:8" x14ac:dyDescent="0.3">
      <c r="A140" s="262" t="s">
        <v>492</v>
      </c>
      <c r="B140" s="268">
        <v>4779641</v>
      </c>
      <c r="C140" s="264">
        <v>0</v>
      </c>
      <c r="D140" s="265">
        <v>0</v>
      </c>
      <c r="E140" s="269">
        <v>4779641</v>
      </c>
      <c r="G140" s="266">
        <v>1036002.05</v>
      </c>
      <c r="H140" s="279">
        <v>361</v>
      </c>
    </row>
    <row r="141" spans="1:8" x14ac:dyDescent="0.3">
      <c r="A141" s="262" t="s">
        <v>493</v>
      </c>
      <c r="B141" s="268">
        <v>313626</v>
      </c>
      <c r="C141" s="264">
        <v>0</v>
      </c>
      <c r="D141" s="265">
        <v>0</v>
      </c>
      <c r="E141" s="269">
        <v>313626</v>
      </c>
      <c r="G141" s="266">
        <v>199099.54</v>
      </c>
      <c r="H141" s="279">
        <v>58</v>
      </c>
    </row>
    <row r="142" spans="1:8" x14ac:dyDescent="0.3">
      <c r="A142" s="262" t="s">
        <v>494</v>
      </c>
      <c r="B142" s="263">
        <v>0</v>
      </c>
      <c r="C142" s="264">
        <v>0</v>
      </c>
      <c r="D142" s="265">
        <v>0</v>
      </c>
      <c r="E142" s="265">
        <v>0</v>
      </c>
      <c r="G142" s="266">
        <v>286977</v>
      </c>
      <c r="H142" s="267">
        <v>-100</v>
      </c>
    </row>
    <row r="143" spans="1:8" x14ac:dyDescent="0.3">
      <c r="A143" s="262" t="s">
        <v>495</v>
      </c>
      <c r="B143" s="268">
        <v>1475028</v>
      </c>
      <c r="C143" s="264">
        <v>0</v>
      </c>
      <c r="D143" s="265">
        <v>0</v>
      </c>
      <c r="E143" s="269">
        <v>1475028</v>
      </c>
      <c r="G143" s="266">
        <v>451295.27</v>
      </c>
      <c r="H143" s="279">
        <v>227</v>
      </c>
    </row>
    <row r="144" spans="1:8" x14ac:dyDescent="0.3">
      <c r="A144" s="262" t="s">
        <v>496</v>
      </c>
      <c r="B144" s="263">
        <v>0</v>
      </c>
      <c r="C144" s="264">
        <v>0</v>
      </c>
      <c r="D144" s="265">
        <v>0</v>
      </c>
      <c r="E144" s="265">
        <v>0</v>
      </c>
      <c r="G144" s="266">
        <v>270828.75</v>
      </c>
      <c r="H144" s="267">
        <v>-100</v>
      </c>
    </row>
    <row r="145" spans="1:8" x14ac:dyDescent="0.3">
      <c r="A145" s="262" t="s">
        <v>497</v>
      </c>
      <c r="B145" s="268">
        <v>17625</v>
      </c>
      <c r="C145" s="264">
        <v>0</v>
      </c>
      <c r="D145" s="265">
        <v>0</v>
      </c>
      <c r="E145" s="269">
        <v>17625</v>
      </c>
      <c r="G145" s="266">
        <v>15036.5</v>
      </c>
      <c r="H145" s="279">
        <v>17</v>
      </c>
    </row>
    <row r="146" spans="1:8" x14ac:dyDescent="0.3">
      <c r="A146" s="262" t="s">
        <v>498</v>
      </c>
      <c r="B146" s="268">
        <v>24929</v>
      </c>
      <c r="C146" s="264">
        <v>0</v>
      </c>
      <c r="D146" s="265">
        <v>0</v>
      </c>
      <c r="E146" s="269">
        <v>24929</v>
      </c>
      <c r="G146" s="266">
        <v>27063.49</v>
      </c>
      <c r="H146" s="267">
        <v>-8</v>
      </c>
    </row>
    <row r="147" spans="1:8" x14ac:dyDescent="0.3">
      <c r="A147" s="262" t="s">
        <v>499</v>
      </c>
      <c r="B147" s="268">
        <v>28493</v>
      </c>
      <c r="C147" s="264">
        <v>0</v>
      </c>
      <c r="D147" s="265">
        <v>0</v>
      </c>
      <c r="E147" s="269">
        <v>28493</v>
      </c>
      <c r="G147" s="266">
        <v>95277.85</v>
      </c>
      <c r="H147" s="267">
        <v>-70</v>
      </c>
    </row>
    <row r="148" spans="1:8" x14ac:dyDescent="0.3">
      <c r="A148" s="262" t="s">
        <v>500</v>
      </c>
      <c r="B148" s="268">
        <v>29569</v>
      </c>
      <c r="C148" s="264">
        <v>0</v>
      </c>
      <c r="D148" s="265">
        <v>0</v>
      </c>
      <c r="E148" s="269">
        <v>29569</v>
      </c>
      <c r="G148" s="266">
        <v>26074.27</v>
      </c>
      <c r="H148" s="279">
        <v>13</v>
      </c>
    </row>
    <row r="149" spans="1:8" x14ac:dyDescent="0.3">
      <c r="A149" s="262" t="s">
        <v>501</v>
      </c>
      <c r="B149" s="287">
        <v>0</v>
      </c>
      <c r="C149" s="273">
        <v>0</v>
      </c>
      <c r="D149" s="274">
        <v>0</v>
      </c>
      <c r="E149" s="274">
        <v>0</v>
      </c>
      <c r="G149" s="276">
        <v>1569.6</v>
      </c>
      <c r="H149" s="277">
        <v>-100</v>
      </c>
    </row>
    <row r="150" spans="1:8" x14ac:dyDescent="0.3">
      <c r="A150" s="278" t="s">
        <v>502</v>
      </c>
      <c r="B150" s="269">
        <v>6683669</v>
      </c>
      <c r="C150" s="265">
        <v>0</v>
      </c>
      <c r="D150" s="265">
        <v>0</v>
      </c>
      <c r="E150" s="269">
        <v>6683669</v>
      </c>
      <c r="G150" s="269">
        <v>2412563.1800000002</v>
      </c>
      <c r="H150" s="279">
        <v>177</v>
      </c>
    </row>
    <row r="152" spans="1:8" x14ac:dyDescent="0.3">
      <c r="A152" s="262" t="s">
        <v>503</v>
      </c>
      <c r="B152" s="268">
        <v>161165</v>
      </c>
      <c r="C152" s="264">
        <v>0</v>
      </c>
      <c r="D152" s="265">
        <v>0</v>
      </c>
      <c r="E152" s="269">
        <v>161165</v>
      </c>
      <c r="G152" s="266">
        <v>159507.01</v>
      </c>
      <c r="H152" s="279">
        <v>1</v>
      </c>
    </row>
    <row r="153" spans="1:8" x14ac:dyDescent="0.3">
      <c r="A153" s="262" t="s">
        <v>504</v>
      </c>
      <c r="B153" s="268">
        <v>64263</v>
      </c>
      <c r="C153" s="264">
        <v>0</v>
      </c>
      <c r="D153" s="265">
        <v>0</v>
      </c>
      <c r="E153" s="269">
        <v>64263</v>
      </c>
      <c r="G153" s="266">
        <v>29970.5</v>
      </c>
      <c r="H153" s="279">
        <v>114</v>
      </c>
    </row>
    <row r="154" spans="1:8" x14ac:dyDescent="0.3">
      <c r="A154" s="262" t="s">
        <v>505</v>
      </c>
      <c r="B154" s="268">
        <v>257245</v>
      </c>
      <c r="C154" s="264">
        <v>0</v>
      </c>
      <c r="D154" s="265">
        <v>0</v>
      </c>
      <c r="E154" s="269">
        <v>257245</v>
      </c>
      <c r="G154" s="266">
        <v>150800</v>
      </c>
      <c r="H154" s="279">
        <v>71</v>
      </c>
    </row>
    <row r="155" spans="1:8" x14ac:dyDescent="0.3">
      <c r="A155" s="262" t="s">
        <v>506</v>
      </c>
      <c r="B155" s="268">
        <v>4858</v>
      </c>
      <c r="C155" s="264">
        <v>0</v>
      </c>
      <c r="D155" s="265">
        <v>0</v>
      </c>
      <c r="E155" s="269">
        <v>4858</v>
      </c>
      <c r="G155" s="266">
        <v>34855.42</v>
      </c>
      <c r="H155" s="267">
        <v>-86</v>
      </c>
    </row>
    <row r="156" spans="1:8" x14ac:dyDescent="0.3">
      <c r="A156" s="262" t="s">
        <v>507</v>
      </c>
      <c r="B156" s="268">
        <v>9620</v>
      </c>
      <c r="C156" s="264">
        <v>0</v>
      </c>
      <c r="D156" s="265">
        <v>0</v>
      </c>
      <c r="E156" s="269">
        <v>9620</v>
      </c>
      <c r="G156" s="270">
        <v>0</v>
      </c>
      <c r="H156" s="271">
        <v>0</v>
      </c>
    </row>
    <row r="157" spans="1:8" x14ac:dyDescent="0.3">
      <c r="A157" s="262" t="s">
        <v>508</v>
      </c>
      <c r="B157" s="287">
        <v>0</v>
      </c>
      <c r="C157" s="273">
        <v>0</v>
      </c>
      <c r="D157" s="274">
        <v>0</v>
      </c>
      <c r="E157" s="274">
        <v>0</v>
      </c>
      <c r="G157" s="276">
        <v>320</v>
      </c>
      <c r="H157" s="277">
        <v>-100</v>
      </c>
    </row>
    <row r="158" spans="1:8" x14ac:dyDescent="0.3">
      <c r="A158" s="278" t="s">
        <v>509</v>
      </c>
      <c r="B158" s="269">
        <v>497151</v>
      </c>
      <c r="C158" s="265">
        <v>0</v>
      </c>
      <c r="D158" s="265">
        <v>0</v>
      </c>
      <c r="E158" s="269">
        <v>497151</v>
      </c>
      <c r="G158" s="269">
        <v>375452.93</v>
      </c>
      <c r="H158" s="279">
        <v>32</v>
      </c>
    </row>
    <row r="160" spans="1:8" x14ac:dyDescent="0.3">
      <c r="A160" s="262" t="s">
        <v>510</v>
      </c>
      <c r="B160" s="272">
        <v>2909</v>
      </c>
      <c r="C160" s="273">
        <v>0</v>
      </c>
      <c r="D160" s="274">
        <v>0</v>
      </c>
      <c r="E160" s="275">
        <v>2909</v>
      </c>
      <c r="G160" s="276">
        <v>5810.05</v>
      </c>
      <c r="H160" s="277">
        <v>-50</v>
      </c>
    </row>
    <row r="161" spans="1:8" x14ac:dyDescent="0.3">
      <c r="A161" s="278" t="s">
        <v>511</v>
      </c>
      <c r="B161" s="269">
        <v>2909</v>
      </c>
      <c r="C161" s="265">
        <v>0</v>
      </c>
      <c r="D161" s="265">
        <v>0</v>
      </c>
      <c r="E161" s="269">
        <v>2909</v>
      </c>
      <c r="G161" s="269">
        <v>5810.05</v>
      </c>
      <c r="H161" s="267">
        <v>-50</v>
      </c>
    </row>
    <row r="163" spans="1:8" x14ac:dyDescent="0.3">
      <c r="A163" s="262" t="s">
        <v>512</v>
      </c>
      <c r="B163" s="268">
        <v>7863</v>
      </c>
      <c r="C163" s="264">
        <v>0</v>
      </c>
      <c r="D163" s="265">
        <v>0</v>
      </c>
      <c r="E163" s="269">
        <v>7863</v>
      </c>
      <c r="G163" s="266">
        <v>5942.56</v>
      </c>
      <c r="H163" s="279">
        <v>32</v>
      </c>
    </row>
    <row r="164" spans="1:8" x14ac:dyDescent="0.3">
      <c r="A164" s="262" t="s">
        <v>513</v>
      </c>
      <c r="B164" s="268">
        <v>66394</v>
      </c>
      <c r="C164" s="264">
        <v>0</v>
      </c>
      <c r="D164" s="265">
        <v>0</v>
      </c>
      <c r="E164" s="269">
        <v>66394</v>
      </c>
      <c r="G164" s="266">
        <v>31633.32</v>
      </c>
      <c r="H164" s="279">
        <v>110</v>
      </c>
    </row>
    <row r="165" spans="1:8" x14ac:dyDescent="0.3">
      <c r="A165" s="262" t="s">
        <v>514</v>
      </c>
      <c r="B165" s="268">
        <v>8172</v>
      </c>
      <c r="C165" s="264">
        <v>0</v>
      </c>
      <c r="D165" s="265">
        <v>0</v>
      </c>
      <c r="E165" s="269">
        <v>8172</v>
      </c>
      <c r="G165" s="266">
        <v>2565.65</v>
      </c>
      <c r="H165" s="279">
        <v>219</v>
      </c>
    </row>
    <row r="166" spans="1:8" x14ac:dyDescent="0.3">
      <c r="A166" s="262" t="s">
        <v>515</v>
      </c>
      <c r="B166" s="263">
        <v>0</v>
      </c>
      <c r="C166" s="264">
        <v>0</v>
      </c>
      <c r="D166" s="265">
        <v>0</v>
      </c>
      <c r="E166" s="265">
        <v>0</v>
      </c>
      <c r="G166" s="266">
        <v>163.79</v>
      </c>
      <c r="H166" s="267">
        <v>-100</v>
      </c>
    </row>
    <row r="167" spans="1:8" x14ac:dyDescent="0.3">
      <c r="A167" s="262" t="s">
        <v>516</v>
      </c>
      <c r="B167" s="268">
        <v>2142</v>
      </c>
      <c r="C167" s="264">
        <v>0</v>
      </c>
      <c r="D167" s="265">
        <v>0</v>
      </c>
      <c r="E167" s="269">
        <v>2142</v>
      </c>
      <c r="G167" s="270">
        <v>0</v>
      </c>
      <c r="H167" s="271">
        <v>0</v>
      </c>
    </row>
    <row r="168" spans="1:8" x14ac:dyDescent="0.3">
      <c r="A168" s="262" t="s">
        <v>517</v>
      </c>
      <c r="B168" s="268">
        <v>87067</v>
      </c>
      <c r="C168" s="264">
        <v>0</v>
      </c>
      <c r="D168" s="265">
        <v>0</v>
      </c>
      <c r="E168" s="269">
        <v>87067</v>
      </c>
      <c r="G168" s="266">
        <v>95846</v>
      </c>
      <c r="H168" s="267">
        <v>-9</v>
      </c>
    </row>
    <row r="169" spans="1:8" x14ac:dyDescent="0.3">
      <c r="A169" s="262" t="s">
        <v>518</v>
      </c>
      <c r="B169" s="268">
        <v>13</v>
      </c>
      <c r="C169" s="264">
        <v>0</v>
      </c>
      <c r="D169" s="265">
        <v>0</v>
      </c>
      <c r="E169" s="269">
        <v>13</v>
      </c>
      <c r="G169" s="270">
        <v>0</v>
      </c>
      <c r="H169" s="271">
        <v>0</v>
      </c>
    </row>
    <row r="170" spans="1:8" x14ac:dyDescent="0.3">
      <c r="A170" s="262" t="s">
        <v>519</v>
      </c>
      <c r="B170" s="268">
        <v>11305</v>
      </c>
      <c r="C170" s="264">
        <v>0</v>
      </c>
      <c r="D170" s="265">
        <v>0</v>
      </c>
      <c r="E170" s="269">
        <v>11305</v>
      </c>
      <c r="G170" s="266">
        <v>3251.56</v>
      </c>
      <c r="H170" s="279">
        <v>248</v>
      </c>
    </row>
    <row r="171" spans="1:8" x14ac:dyDescent="0.3">
      <c r="A171" s="262" t="s">
        <v>520</v>
      </c>
      <c r="B171" s="272">
        <v>3077</v>
      </c>
      <c r="C171" s="273">
        <v>0</v>
      </c>
      <c r="D171" s="274">
        <v>0</v>
      </c>
      <c r="E171" s="275">
        <v>3077</v>
      </c>
      <c r="G171" s="276">
        <v>173.13</v>
      </c>
      <c r="H171" s="286">
        <v>1677</v>
      </c>
    </row>
    <row r="172" spans="1:8" x14ac:dyDescent="0.3">
      <c r="A172" s="278" t="s">
        <v>521</v>
      </c>
      <c r="B172" s="269">
        <v>186033</v>
      </c>
      <c r="C172" s="265">
        <v>0</v>
      </c>
      <c r="D172" s="265">
        <v>0</v>
      </c>
      <c r="E172" s="269">
        <v>186033</v>
      </c>
      <c r="G172" s="269">
        <v>139576.01</v>
      </c>
      <c r="H172" s="279">
        <v>33</v>
      </c>
    </row>
    <row r="174" spans="1:8" x14ac:dyDescent="0.3">
      <c r="A174" s="262" t="s">
        <v>522</v>
      </c>
      <c r="B174" s="268">
        <v>15877</v>
      </c>
      <c r="C174" s="264">
        <v>0</v>
      </c>
      <c r="D174" s="265">
        <v>0</v>
      </c>
      <c r="E174" s="269">
        <v>15877</v>
      </c>
      <c r="G174" s="266">
        <v>8525.94</v>
      </c>
      <c r="H174" s="279">
        <v>86</v>
      </c>
    </row>
    <row r="175" spans="1:8" x14ac:dyDescent="0.3">
      <c r="A175" s="262" t="s">
        <v>523</v>
      </c>
      <c r="B175" s="272">
        <v>30788</v>
      </c>
      <c r="C175" s="273">
        <v>0</v>
      </c>
      <c r="D175" s="274">
        <v>0</v>
      </c>
      <c r="E175" s="275">
        <v>30788</v>
      </c>
      <c r="G175" s="276">
        <v>11590.48</v>
      </c>
      <c r="H175" s="286">
        <v>166</v>
      </c>
    </row>
    <row r="176" spans="1:8" x14ac:dyDescent="0.3">
      <c r="A176" s="278" t="s">
        <v>524</v>
      </c>
      <c r="B176" s="269">
        <v>46665</v>
      </c>
      <c r="C176" s="265">
        <v>0</v>
      </c>
      <c r="D176" s="265">
        <v>0</v>
      </c>
      <c r="E176" s="269">
        <v>46665</v>
      </c>
      <c r="G176" s="269">
        <v>20116.419999999998</v>
      </c>
      <c r="H176" s="279">
        <v>132</v>
      </c>
    </row>
    <row r="178" spans="1:8" x14ac:dyDescent="0.3">
      <c r="A178" s="262" t="s">
        <v>525</v>
      </c>
      <c r="B178" s="272">
        <v>104996</v>
      </c>
      <c r="C178" s="273">
        <v>0</v>
      </c>
      <c r="D178" s="274">
        <v>0</v>
      </c>
      <c r="E178" s="275">
        <v>104996</v>
      </c>
      <c r="G178" s="276">
        <v>37237.379999999997</v>
      </c>
      <c r="H178" s="286">
        <v>182</v>
      </c>
    </row>
    <row r="179" spans="1:8" x14ac:dyDescent="0.3">
      <c r="A179" s="278" t="s">
        <v>526</v>
      </c>
      <c r="B179" s="269">
        <v>104996</v>
      </c>
      <c r="C179" s="265">
        <v>0</v>
      </c>
      <c r="D179" s="265">
        <v>0</v>
      </c>
      <c r="E179" s="269">
        <v>104996</v>
      </c>
      <c r="G179" s="269">
        <v>37237.379999999997</v>
      </c>
      <c r="H179" s="279">
        <v>182</v>
      </c>
    </row>
    <row r="181" spans="1:8" x14ac:dyDescent="0.3">
      <c r="A181" s="262" t="s">
        <v>527</v>
      </c>
      <c r="B181" s="272">
        <v>277957</v>
      </c>
      <c r="C181" s="292">
        <v>-193750</v>
      </c>
      <c r="D181" s="274">
        <v>0</v>
      </c>
      <c r="E181" s="275">
        <v>84207</v>
      </c>
      <c r="G181" s="276">
        <v>108135.67999999999</v>
      </c>
      <c r="H181" s="277">
        <v>-22</v>
      </c>
    </row>
    <row r="182" spans="1:8" x14ac:dyDescent="0.3">
      <c r="A182" s="278" t="s">
        <v>528</v>
      </c>
      <c r="B182" s="269">
        <v>277957</v>
      </c>
      <c r="C182" s="284">
        <v>-193750</v>
      </c>
      <c r="D182" s="265">
        <v>0</v>
      </c>
      <c r="E182" s="269">
        <v>84207</v>
      </c>
      <c r="G182" s="269">
        <v>108135.67999999999</v>
      </c>
      <c r="H182" s="267">
        <v>-22</v>
      </c>
    </row>
    <row r="184" spans="1:8" x14ac:dyDescent="0.3">
      <c r="A184" s="262" t="s">
        <v>529</v>
      </c>
      <c r="B184" s="272">
        <v>80194</v>
      </c>
      <c r="C184" s="273">
        <v>0</v>
      </c>
      <c r="D184" s="274">
        <v>0</v>
      </c>
      <c r="E184" s="275">
        <v>80194</v>
      </c>
      <c r="G184" s="280">
        <v>0</v>
      </c>
      <c r="H184" s="281">
        <v>0</v>
      </c>
    </row>
    <row r="185" spans="1:8" x14ac:dyDescent="0.3">
      <c r="A185" s="278" t="s">
        <v>530</v>
      </c>
      <c r="B185" s="269">
        <v>80194</v>
      </c>
      <c r="C185" s="265">
        <v>0</v>
      </c>
      <c r="D185" s="265">
        <v>0</v>
      </c>
      <c r="E185" s="269">
        <v>80194</v>
      </c>
      <c r="G185" s="265">
        <v>0</v>
      </c>
      <c r="H185" s="271">
        <v>0</v>
      </c>
    </row>
    <row r="187" spans="1:8" x14ac:dyDescent="0.3">
      <c r="A187" s="262" t="s">
        <v>531</v>
      </c>
      <c r="B187" s="272">
        <v>21248</v>
      </c>
      <c r="C187" s="273">
        <v>0</v>
      </c>
      <c r="D187" s="274">
        <v>0</v>
      </c>
      <c r="E187" s="275">
        <v>21248</v>
      </c>
      <c r="G187" s="280">
        <v>0</v>
      </c>
      <c r="H187" s="281">
        <v>0</v>
      </c>
    </row>
    <row r="188" spans="1:8" x14ac:dyDescent="0.3">
      <c r="A188" s="278" t="s">
        <v>532</v>
      </c>
      <c r="B188" s="269">
        <v>21248</v>
      </c>
      <c r="C188" s="265">
        <v>0</v>
      </c>
      <c r="D188" s="265">
        <v>0</v>
      </c>
      <c r="E188" s="269">
        <v>21248</v>
      </c>
      <c r="G188" s="265">
        <v>0</v>
      </c>
      <c r="H188" s="271">
        <v>0</v>
      </c>
    </row>
    <row r="190" spans="1:8" x14ac:dyDescent="0.3">
      <c r="A190" s="262" t="s">
        <v>533</v>
      </c>
      <c r="B190" s="272">
        <v>3285</v>
      </c>
      <c r="C190" s="273">
        <v>0</v>
      </c>
      <c r="D190" s="274">
        <v>0</v>
      </c>
      <c r="E190" s="275">
        <v>3285</v>
      </c>
      <c r="G190" s="276">
        <v>4528.8</v>
      </c>
      <c r="H190" s="277">
        <v>-27</v>
      </c>
    </row>
    <row r="191" spans="1:8" x14ac:dyDescent="0.3">
      <c r="A191" s="278" t="s">
        <v>534</v>
      </c>
      <c r="B191" s="269">
        <v>3285</v>
      </c>
      <c r="C191" s="265">
        <v>0</v>
      </c>
      <c r="D191" s="265">
        <v>0</v>
      </c>
      <c r="E191" s="269">
        <v>3285</v>
      </c>
      <c r="G191" s="269">
        <v>4528.8</v>
      </c>
      <c r="H191" s="267">
        <v>-27</v>
      </c>
    </row>
    <row r="193" spans="1:8" x14ac:dyDescent="0.3">
      <c r="A193" s="262" t="s">
        <v>535</v>
      </c>
      <c r="B193" s="287">
        <v>0</v>
      </c>
      <c r="C193" s="293">
        <v>180028</v>
      </c>
      <c r="D193" s="274">
        <v>0</v>
      </c>
      <c r="E193" s="275">
        <v>180028</v>
      </c>
      <c r="G193" s="276">
        <v>25155</v>
      </c>
      <c r="H193" s="286">
        <v>616</v>
      </c>
    </row>
    <row r="194" spans="1:8" x14ac:dyDescent="0.3">
      <c r="A194" s="278" t="s">
        <v>536</v>
      </c>
      <c r="B194" s="265">
        <v>0</v>
      </c>
      <c r="C194" s="269">
        <v>180028</v>
      </c>
      <c r="D194" s="265">
        <v>0</v>
      </c>
      <c r="E194" s="269">
        <v>180028</v>
      </c>
      <c r="G194" s="269">
        <v>25155</v>
      </c>
      <c r="H194" s="279">
        <v>616</v>
      </c>
    </row>
    <row r="196" spans="1:8" x14ac:dyDescent="0.3">
      <c r="A196" s="262" t="s">
        <v>537</v>
      </c>
      <c r="B196" s="287">
        <v>0</v>
      </c>
      <c r="C196" s="293">
        <v>16850</v>
      </c>
      <c r="D196" s="274">
        <v>0</v>
      </c>
      <c r="E196" s="275">
        <v>16850</v>
      </c>
      <c r="G196" s="276">
        <v>2345</v>
      </c>
      <c r="H196" s="286">
        <v>619</v>
      </c>
    </row>
    <row r="197" spans="1:8" x14ac:dyDescent="0.3">
      <c r="A197" s="278" t="s">
        <v>538</v>
      </c>
      <c r="B197" s="265">
        <v>0</v>
      </c>
      <c r="C197" s="269">
        <v>16850</v>
      </c>
      <c r="D197" s="265">
        <v>0</v>
      </c>
      <c r="E197" s="269">
        <v>16850</v>
      </c>
      <c r="G197" s="269">
        <v>2345</v>
      </c>
      <c r="H197" s="279">
        <v>619</v>
      </c>
    </row>
    <row r="199" spans="1:8" x14ac:dyDescent="0.3">
      <c r="A199" s="262" t="s">
        <v>539</v>
      </c>
      <c r="B199" s="272">
        <v>9450</v>
      </c>
      <c r="C199" s="273">
        <v>0</v>
      </c>
      <c r="D199" s="274">
        <v>0</v>
      </c>
      <c r="E199" s="275">
        <v>9450</v>
      </c>
      <c r="G199" s="276">
        <v>8374.36</v>
      </c>
      <c r="H199" s="286">
        <v>13</v>
      </c>
    </row>
    <row r="200" spans="1:8" x14ac:dyDescent="0.3">
      <c r="A200" s="278" t="s">
        <v>540</v>
      </c>
      <c r="B200" s="269">
        <v>9450</v>
      </c>
      <c r="C200" s="265">
        <v>0</v>
      </c>
      <c r="D200" s="265">
        <v>0</v>
      </c>
      <c r="E200" s="269">
        <v>9450</v>
      </c>
      <c r="G200" s="269">
        <v>8374.36</v>
      </c>
      <c r="H200" s="279">
        <v>13</v>
      </c>
    </row>
    <row r="202" spans="1:8" x14ac:dyDescent="0.3">
      <c r="A202" s="262" t="s">
        <v>541</v>
      </c>
      <c r="B202" s="287">
        <v>0</v>
      </c>
      <c r="C202" s="293">
        <v>7906</v>
      </c>
      <c r="D202" s="274">
        <v>0</v>
      </c>
      <c r="E202" s="275">
        <v>7906</v>
      </c>
      <c r="G202" s="276">
        <v>23777.21</v>
      </c>
      <c r="H202" s="277">
        <v>-67</v>
      </c>
    </row>
    <row r="203" spans="1:8" x14ac:dyDescent="0.3">
      <c r="A203" s="278" t="s">
        <v>542</v>
      </c>
      <c r="B203" s="265">
        <v>0</v>
      </c>
      <c r="C203" s="269">
        <v>7906</v>
      </c>
      <c r="D203" s="265">
        <v>0</v>
      </c>
      <c r="E203" s="269">
        <v>7906</v>
      </c>
      <c r="G203" s="269">
        <v>23777.21</v>
      </c>
      <c r="H203" s="267">
        <v>-67</v>
      </c>
    </row>
    <row r="204" spans="1:8" x14ac:dyDescent="0.3">
      <c r="B204" s="294"/>
      <c r="C204" s="294"/>
      <c r="D204" s="295"/>
      <c r="E204" s="295"/>
      <c r="G204" s="295"/>
      <c r="H204" s="295"/>
    </row>
    <row r="205" spans="1:8" ht="15" thickBot="1" x14ac:dyDescent="0.35">
      <c r="B205" s="296">
        <v>1590507</v>
      </c>
      <c r="C205" s="296">
        <v>11034</v>
      </c>
      <c r="D205" s="297">
        <v>0</v>
      </c>
      <c r="E205" s="296">
        <v>1601541</v>
      </c>
      <c r="G205" s="298">
        <v>-2275351.3199999998</v>
      </c>
      <c r="H205" s="299">
        <v>-170</v>
      </c>
    </row>
    <row r="206" spans="1:8" ht="15.6" thickTop="1" thickBot="1" x14ac:dyDescent="0.35">
      <c r="A206" s="258"/>
      <c r="B206" s="258"/>
      <c r="C206" s="258"/>
      <c r="D206" s="258"/>
      <c r="E206" s="258"/>
      <c r="F206" s="258"/>
      <c r="G206" s="258"/>
      <c r="H206" s="258"/>
    </row>
    <row r="207" spans="1:8" x14ac:dyDescent="0.3">
      <c r="A207" s="300">
        <v>45747</v>
      </c>
      <c r="B207" s="443"/>
      <c r="C207" s="443"/>
      <c r="D207" s="443"/>
      <c r="E207" s="443"/>
      <c r="F207" s="443"/>
    </row>
    <row r="208" spans="1:8" x14ac:dyDescent="0.3">
      <c r="A208" s="301" t="s">
        <v>543</v>
      </c>
    </row>
  </sheetData>
  <autoFilter ref="A3:H205" xr:uid="{00000000-0009-0000-0000-000006000000}"/>
  <mergeCells count="1">
    <mergeCell ref="B207:F20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G70"/>
  <sheetViews>
    <sheetView workbookViewId="0">
      <selection activeCell="CY57" sqref="CY57"/>
    </sheetView>
  </sheetViews>
  <sheetFormatPr defaultColWidth="10.6640625" defaultRowHeight="14.4" outlineLevelCol="1" x14ac:dyDescent="0.3"/>
  <cols>
    <col min="1" max="2" width="2" style="345" customWidth="1"/>
    <col min="3" max="4" width="2.44140625" style="345" customWidth="1"/>
    <col min="5" max="5" width="3.88671875" style="345" customWidth="1"/>
    <col min="6" max="6" width="1.5546875" style="345" customWidth="1"/>
    <col min="7" max="7" width="5" style="345" customWidth="1"/>
    <col min="8" max="8" width="29" style="345" bestFit="1" customWidth="1"/>
    <col min="9" max="9" width="10.6640625" style="333" hidden="1" customWidth="1" outlineLevel="1"/>
    <col min="10" max="10" width="4" style="333" hidden="1" customWidth="1" outlineLevel="1"/>
    <col min="11" max="11" width="10.6640625" style="333" hidden="1" customWidth="1" outlineLevel="1"/>
    <col min="12" max="12" width="2.33203125" style="333" hidden="1" customWidth="1" outlineLevel="1"/>
    <col min="13" max="13" width="10.6640625" style="354" collapsed="1"/>
    <col min="14" max="14" width="2.6640625" style="333" customWidth="1"/>
    <col min="15" max="20" width="10.6640625" style="333" hidden="1" customWidth="1" outlineLevel="1"/>
    <col min="21" max="21" width="10.6640625" style="355" collapsed="1"/>
    <col min="22" max="22" width="3.109375" style="333" customWidth="1"/>
    <col min="23" max="23" width="10.6640625" style="333" hidden="1" customWidth="1"/>
    <col min="24" max="24" width="2.109375" style="333" hidden="1" customWidth="1"/>
    <col min="25" max="25" width="10.6640625" style="333" hidden="1" customWidth="1"/>
    <col min="26" max="26" width="4" style="333" hidden="1" customWidth="1"/>
    <col min="27" max="27" width="10.6640625" style="333" hidden="1" customWidth="1" outlineLevel="1"/>
    <col min="28" max="28" width="4" style="333" hidden="1" customWidth="1" outlineLevel="1"/>
    <col min="29" max="29" width="10.6640625" style="333" hidden="1" customWidth="1" outlineLevel="1"/>
    <col min="30" max="30" width="3.33203125" style="333" hidden="1" customWidth="1" outlineLevel="1"/>
    <col min="31" max="31" width="10.6640625" style="333" hidden="1" customWidth="1" outlineLevel="1"/>
    <col min="32" max="32" width="2.109375" style="333" hidden="1" customWidth="1" outlineLevel="1"/>
    <col min="33" max="33" width="10.6640625" style="356" hidden="1" customWidth="1" collapsed="1"/>
    <col min="34" max="34" width="1.5546875" style="333" hidden="1" customWidth="1"/>
    <col min="35" max="35" width="10.6640625" style="333" hidden="1" customWidth="1" outlineLevel="1"/>
    <col min="36" max="36" width="1.88671875" style="333" hidden="1" customWidth="1" outlineLevel="1"/>
    <col min="37" max="37" width="10.6640625" style="333" hidden="1" customWidth="1" outlineLevel="1"/>
    <col min="38" max="38" width="1.33203125" style="333" hidden="1" customWidth="1" outlineLevel="1"/>
    <col min="39" max="39" width="14.33203125" style="333" hidden="1" customWidth="1" outlineLevel="1"/>
    <col min="40" max="40" width="1.33203125" style="333" hidden="1" customWidth="1" outlineLevel="1"/>
    <col min="41" max="41" width="10.6640625" style="333" hidden="1" customWidth="1" outlineLevel="1"/>
    <col min="42" max="42" width="1.33203125" style="333" hidden="1" customWidth="1" collapsed="1"/>
    <col min="43" max="43" width="10.6640625" style="333" hidden="1" customWidth="1"/>
    <col min="44" max="44" width="1.33203125" style="333" hidden="1" customWidth="1"/>
    <col min="45" max="45" width="10.6640625" style="333" hidden="1" customWidth="1"/>
    <col min="46" max="46" width="1.33203125" style="333" hidden="1" customWidth="1"/>
    <col min="47" max="47" width="10.6640625" style="333" hidden="1" customWidth="1" outlineLevel="1"/>
    <col min="48" max="48" width="1.33203125" style="333" hidden="1" customWidth="1" outlineLevel="1"/>
    <col min="49" max="49" width="10.6640625" style="333" hidden="1" customWidth="1" outlineLevel="1"/>
    <col min="50" max="50" width="1.33203125" style="333" hidden="1" customWidth="1" outlineLevel="1"/>
    <col min="51" max="64" width="10.6640625" style="333" hidden="1" customWidth="1" outlineLevel="1"/>
    <col min="65" max="65" width="10.6640625" style="333" hidden="1" customWidth="1" collapsed="1"/>
    <col min="66" max="66" width="1.88671875" style="333" hidden="1" customWidth="1"/>
    <col min="67" max="67" width="10.6640625" style="333" hidden="1" customWidth="1"/>
    <col min="68" max="68" width="1.88671875" style="333" hidden="1" customWidth="1"/>
    <col min="69" max="69" width="10.6640625" style="356" hidden="1" customWidth="1"/>
    <col min="70" max="70" width="1.88671875" style="333" hidden="1" customWidth="1"/>
    <col min="71" max="71" width="10.6640625" style="333" hidden="1" customWidth="1"/>
    <col min="72" max="72" width="1.88671875" style="333" hidden="1" customWidth="1"/>
    <col min="73" max="73" width="10.6640625" style="356" hidden="1" customWidth="1"/>
    <col min="74" max="74" width="1.88671875" style="333" hidden="1" customWidth="1"/>
    <col min="75" max="75" width="10.6640625" style="333" hidden="1" customWidth="1"/>
    <col min="76" max="76" width="1.88671875" style="333" hidden="1" customWidth="1"/>
    <col min="77" max="77" width="10.6640625" style="333" hidden="1" customWidth="1"/>
    <col min="78" max="78" width="0.88671875" style="333" hidden="1" customWidth="1"/>
    <col min="79" max="79" width="10.6640625" style="356" hidden="1" customWidth="1"/>
    <col min="80" max="80" width="2" style="333" hidden="1" customWidth="1"/>
    <col min="81" max="81" width="10.6640625" style="356" hidden="1" customWidth="1"/>
    <col min="82" max="82" width="3.44140625" style="333" hidden="1" customWidth="1"/>
    <col min="83" max="83" width="10.6640625" style="355" hidden="1" customWidth="1" outlineLevel="1"/>
    <col min="84" max="84" width="3.44140625" style="355" hidden="1" customWidth="1" outlineLevel="1"/>
    <col min="85" max="85" width="10.6640625" style="355" hidden="1" customWidth="1" outlineLevel="1"/>
    <col min="86" max="86" width="2.6640625" style="355" hidden="1" customWidth="1" outlineLevel="1"/>
    <col min="87" max="87" width="10.6640625" style="355" hidden="1" customWidth="1" outlineLevel="1"/>
    <col min="88" max="88" width="2.6640625" style="355" hidden="1" customWidth="1" outlineLevel="1"/>
    <col min="89" max="89" width="10.6640625" style="355" hidden="1" customWidth="1" outlineLevel="1"/>
    <col min="90" max="90" width="2.6640625" style="355" hidden="1" customWidth="1" outlineLevel="1"/>
    <col min="91" max="91" width="10.6640625" style="348" hidden="1" customWidth="1" collapsed="1"/>
    <col min="92" max="92" width="2.109375" style="333" hidden="1" customWidth="1"/>
    <col min="93" max="93" width="10.6640625" style="356" hidden="1" customWidth="1"/>
    <col min="94" max="94" width="1.109375" style="333" hidden="1" customWidth="1"/>
    <col min="95" max="95" width="10.6640625" style="333" hidden="1" customWidth="1"/>
    <col min="96" max="96" width="1" style="333" hidden="1" customWidth="1"/>
    <col min="97" max="97" width="10.6640625" style="333" hidden="1" customWidth="1"/>
    <col min="98" max="98" width="3" style="333" hidden="1" customWidth="1"/>
    <col min="99" max="99" width="10.6640625" style="333" customWidth="1"/>
    <col min="100" max="100" width="0.88671875" style="333" customWidth="1"/>
    <col min="101" max="101" width="10.6640625" style="354"/>
    <col min="102" max="102" width="1.6640625" style="333" customWidth="1"/>
    <col min="103" max="16384" width="10.6640625" style="333"/>
  </cols>
  <sheetData>
    <row r="1" spans="1:107" s="320" customFormat="1" ht="50.4" customHeight="1" x14ac:dyDescent="0.3">
      <c r="A1" s="314"/>
      <c r="B1" s="314"/>
      <c r="C1" s="314"/>
      <c r="D1" s="314"/>
      <c r="E1" s="314"/>
      <c r="F1" s="314"/>
      <c r="G1" s="314"/>
      <c r="H1" s="314"/>
      <c r="I1" s="314" t="s">
        <v>549</v>
      </c>
      <c r="J1" s="315"/>
      <c r="K1" s="314" t="s">
        <v>550</v>
      </c>
      <c r="L1" s="315"/>
      <c r="M1" s="316" t="s">
        <v>676</v>
      </c>
      <c r="N1" s="315"/>
      <c r="O1" s="314" t="s">
        <v>551</v>
      </c>
      <c r="P1" s="315"/>
      <c r="Q1" s="314" t="s">
        <v>552</v>
      </c>
      <c r="R1" s="315"/>
      <c r="S1" s="314" t="s">
        <v>553</v>
      </c>
      <c r="T1" s="315"/>
      <c r="U1" s="317" t="s">
        <v>677</v>
      </c>
      <c r="V1" s="315"/>
      <c r="W1" s="314" t="s">
        <v>554</v>
      </c>
      <c r="X1" s="315"/>
      <c r="Y1" s="314" t="s">
        <v>555</v>
      </c>
      <c r="Z1" s="315"/>
      <c r="AA1" s="314" t="s">
        <v>556</v>
      </c>
      <c r="AB1" s="315"/>
      <c r="AC1" s="314" t="s">
        <v>557</v>
      </c>
      <c r="AD1" s="315"/>
      <c r="AE1" s="314" t="s">
        <v>558</v>
      </c>
      <c r="AF1" s="315"/>
      <c r="AG1" s="318" t="s">
        <v>559</v>
      </c>
      <c r="AH1" s="315"/>
      <c r="AI1" s="314" t="s">
        <v>560</v>
      </c>
      <c r="AJ1" s="315"/>
      <c r="AK1" s="314" t="s">
        <v>561</v>
      </c>
      <c r="AL1" s="315"/>
      <c r="AM1" s="314" t="s">
        <v>562</v>
      </c>
      <c r="AN1" s="315"/>
      <c r="AO1" s="314" t="s">
        <v>563</v>
      </c>
      <c r="AP1" s="315"/>
      <c r="AQ1" s="314" t="s">
        <v>564</v>
      </c>
      <c r="AR1" s="315"/>
      <c r="AS1" s="314" t="s">
        <v>565</v>
      </c>
      <c r="AT1" s="315"/>
      <c r="AU1" s="314" t="s">
        <v>566</v>
      </c>
      <c r="AV1" s="315"/>
      <c r="AW1" s="314" t="s">
        <v>567</v>
      </c>
      <c r="AX1" s="315"/>
      <c r="AY1" s="314" t="s">
        <v>568</v>
      </c>
      <c r="AZ1" s="315"/>
      <c r="BA1" s="314" t="s">
        <v>569</v>
      </c>
      <c r="BB1" s="315"/>
      <c r="BC1" s="314" t="s">
        <v>570</v>
      </c>
      <c r="BD1" s="315"/>
      <c r="BE1" s="314" t="s">
        <v>571</v>
      </c>
      <c r="BF1" s="315"/>
      <c r="BG1" s="314" t="s">
        <v>572</v>
      </c>
      <c r="BH1" s="315"/>
      <c r="BI1" s="314" t="s">
        <v>573</v>
      </c>
      <c r="BJ1" s="315"/>
      <c r="BK1" s="314" t="s">
        <v>574</v>
      </c>
      <c r="BL1" s="315"/>
      <c r="BM1" s="314" t="s">
        <v>575</v>
      </c>
      <c r="BN1" s="315"/>
      <c r="BO1" s="314" t="s">
        <v>576</v>
      </c>
      <c r="BP1" s="315"/>
      <c r="BQ1" s="318" t="s">
        <v>577</v>
      </c>
      <c r="BR1" s="315"/>
      <c r="BS1" s="314" t="s">
        <v>578</v>
      </c>
      <c r="BT1" s="315"/>
      <c r="BU1" s="318" t="s">
        <v>579</v>
      </c>
      <c r="BV1" s="315"/>
      <c r="BW1" s="314" t="s">
        <v>580</v>
      </c>
      <c r="BX1" s="315"/>
      <c r="BY1" s="314" t="s">
        <v>581</v>
      </c>
      <c r="BZ1" s="315"/>
      <c r="CA1" s="318" t="s">
        <v>582</v>
      </c>
      <c r="CB1" s="315"/>
      <c r="CC1" s="318" t="s">
        <v>583</v>
      </c>
      <c r="CD1" s="315"/>
      <c r="CE1" s="314" t="s">
        <v>584</v>
      </c>
      <c r="CF1" s="315"/>
      <c r="CG1" s="314" t="s">
        <v>585</v>
      </c>
      <c r="CH1" s="315"/>
      <c r="CI1" s="314" t="s">
        <v>586</v>
      </c>
      <c r="CJ1" s="315"/>
      <c r="CK1" s="314" t="s">
        <v>587</v>
      </c>
      <c r="CL1" s="315"/>
      <c r="CM1" s="319" t="s">
        <v>588</v>
      </c>
      <c r="CN1" s="315"/>
      <c r="CO1" s="318" t="s">
        <v>589</v>
      </c>
      <c r="CP1" s="315"/>
      <c r="CQ1" s="314" t="s">
        <v>590</v>
      </c>
      <c r="CR1" s="315"/>
      <c r="CS1" s="314" t="s">
        <v>591</v>
      </c>
      <c r="CT1" s="315"/>
      <c r="CU1" s="315" t="s">
        <v>678</v>
      </c>
      <c r="CV1" s="315"/>
      <c r="CW1" s="316"/>
      <c r="CX1" s="315"/>
      <c r="CY1" s="315"/>
    </row>
    <row r="2" spans="1:107" s="320" customFormat="1" ht="39" customHeight="1" thickBot="1" x14ac:dyDescent="0.35">
      <c r="A2" s="314"/>
      <c r="B2" s="314"/>
      <c r="C2" s="314"/>
      <c r="D2" s="314"/>
      <c r="E2" s="314"/>
      <c r="F2" s="314"/>
      <c r="G2" s="314"/>
      <c r="H2" s="314"/>
      <c r="I2" s="321" t="s">
        <v>592</v>
      </c>
      <c r="J2" s="315"/>
      <c r="K2" s="321" t="s">
        <v>592</v>
      </c>
      <c r="L2" s="315"/>
      <c r="M2" s="322" t="s">
        <v>593</v>
      </c>
      <c r="N2" s="315"/>
      <c r="O2" s="321" t="s">
        <v>594</v>
      </c>
      <c r="P2" s="315"/>
      <c r="Q2" s="321" t="s">
        <v>594</v>
      </c>
      <c r="R2" s="315"/>
      <c r="S2" s="321" t="s">
        <v>594</v>
      </c>
      <c r="T2" s="315"/>
      <c r="U2" s="323" t="s">
        <v>595</v>
      </c>
      <c r="V2" s="315"/>
      <c r="W2" s="321" t="s">
        <v>596</v>
      </c>
      <c r="X2" s="315"/>
      <c r="Y2" s="321" t="s">
        <v>596</v>
      </c>
      <c r="Z2" s="315"/>
      <c r="AA2" s="321" t="s">
        <v>597</v>
      </c>
      <c r="AB2" s="315"/>
      <c r="AC2" s="321" t="s">
        <v>597</v>
      </c>
      <c r="AD2" s="315"/>
      <c r="AE2" s="321" t="s">
        <v>597</v>
      </c>
      <c r="AF2" s="315"/>
      <c r="AG2" s="324" t="s">
        <v>596</v>
      </c>
      <c r="AH2" s="315"/>
      <c r="AI2" s="321" t="s">
        <v>598</v>
      </c>
      <c r="AJ2" s="315"/>
      <c r="AK2" s="321" t="s">
        <v>598</v>
      </c>
      <c r="AL2" s="315"/>
      <c r="AM2" s="321" t="s">
        <v>598</v>
      </c>
      <c r="AN2" s="315"/>
      <c r="AO2" s="321" t="s">
        <v>598</v>
      </c>
      <c r="AP2" s="315"/>
      <c r="AQ2" s="321" t="s">
        <v>596</v>
      </c>
      <c r="AR2" s="315"/>
      <c r="AS2" s="321" t="s">
        <v>596</v>
      </c>
      <c r="AT2" s="315"/>
      <c r="AU2" s="321" t="s">
        <v>599</v>
      </c>
      <c r="AV2" s="315"/>
      <c r="AW2" s="321" t="s">
        <v>599</v>
      </c>
      <c r="AX2" s="315"/>
      <c r="AY2" s="321" t="s">
        <v>599</v>
      </c>
      <c r="AZ2" s="315"/>
      <c r="BA2" s="321" t="s">
        <v>599</v>
      </c>
      <c r="BB2" s="315"/>
      <c r="BC2" s="321" t="s">
        <v>599</v>
      </c>
      <c r="BD2" s="315"/>
      <c r="BE2" s="321" t="s">
        <v>599</v>
      </c>
      <c r="BF2" s="315"/>
      <c r="BG2" s="321" t="s">
        <v>599</v>
      </c>
      <c r="BH2" s="315"/>
      <c r="BI2" s="321" t="s">
        <v>599</v>
      </c>
      <c r="BJ2" s="315"/>
      <c r="BK2" s="321" t="s">
        <v>599</v>
      </c>
      <c r="BL2" s="315"/>
      <c r="BM2" s="321" t="s">
        <v>596</v>
      </c>
      <c r="BN2" s="315"/>
      <c r="BO2" s="321" t="s">
        <v>600</v>
      </c>
      <c r="BP2" s="315"/>
      <c r="BQ2" s="324" t="s">
        <v>601</v>
      </c>
      <c r="BR2" s="315"/>
      <c r="BS2" s="321" t="s">
        <v>601</v>
      </c>
      <c r="BT2" s="315"/>
      <c r="BU2" s="324" t="s">
        <v>601</v>
      </c>
      <c r="BV2" s="315"/>
      <c r="BW2" s="321" t="s">
        <v>601</v>
      </c>
      <c r="BX2" s="315"/>
      <c r="BY2" s="321" t="s">
        <v>601</v>
      </c>
      <c r="BZ2" s="315"/>
      <c r="CA2" s="324" t="s">
        <v>601</v>
      </c>
      <c r="CB2" s="315"/>
      <c r="CC2" s="324" t="s">
        <v>601</v>
      </c>
      <c r="CD2" s="315"/>
      <c r="CE2" s="321" t="s">
        <v>602</v>
      </c>
      <c r="CF2" s="315"/>
      <c r="CG2" s="321" t="s">
        <v>602</v>
      </c>
      <c r="CH2" s="315"/>
      <c r="CI2" s="321" t="s">
        <v>602</v>
      </c>
      <c r="CJ2" s="315"/>
      <c r="CK2" s="321" t="s">
        <v>602</v>
      </c>
      <c r="CL2" s="315"/>
      <c r="CM2" s="325" t="s">
        <v>601</v>
      </c>
      <c r="CN2" s="315"/>
      <c r="CO2" s="324" t="s">
        <v>601</v>
      </c>
      <c r="CP2" s="315"/>
      <c r="CQ2" s="321" t="s">
        <v>601</v>
      </c>
      <c r="CR2" s="315"/>
      <c r="CS2" s="321" t="s">
        <v>600</v>
      </c>
      <c r="CT2" s="315"/>
      <c r="CU2" s="321" t="s">
        <v>603</v>
      </c>
      <c r="CV2" s="315"/>
      <c r="CW2" s="322" t="s">
        <v>604</v>
      </c>
      <c r="CX2" s="315"/>
      <c r="CY2" s="321" t="s">
        <v>605</v>
      </c>
      <c r="DA2" s="320" t="s">
        <v>606</v>
      </c>
      <c r="DC2" s="320" t="s">
        <v>607</v>
      </c>
    </row>
    <row r="3" spans="1:107" ht="15" thickTop="1" x14ac:dyDescent="0.3">
      <c r="A3" s="326"/>
      <c r="B3" s="326" t="s">
        <v>608</v>
      </c>
      <c r="C3" s="326"/>
      <c r="D3" s="326"/>
      <c r="E3" s="326"/>
      <c r="F3" s="326"/>
      <c r="G3" s="326"/>
      <c r="H3" s="326"/>
      <c r="I3" s="327"/>
      <c r="J3" s="328"/>
      <c r="K3" s="327"/>
      <c r="L3" s="328"/>
      <c r="M3" s="329"/>
      <c r="N3" s="328"/>
      <c r="O3" s="327"/>
      <c r="P3" s="328"/>
      <c r="Q3" s="327"/>
      <c r="R3" s="328"/>
      <c r="S3" s="327"/>
      <c r="T3" s="328"/>
      <c r="U3" s="330"/>
      <c r="V3" s="328"/>
      <c r="W3" s="327"/>
      <c r="X3" s="328"/>
      <c r="Y3" s="327"/>
      <c r="Z3" s="328"/>
      <c r="AA3" s="327"/>
      <c r="AB3" s="328"/>
      <c r="AC3" s="327"/>
      <c r="AD3" s="328"/>
      <c r="AE3" s="327"/>
      <c r="AF3" s="328"/>
      <c r="AG3" s="331"/>
      <c r="AH3" s="328"/>
      <c r="AI3" s="327"/>
      <c r="AJ3" s="328"/>
      <c r="AK3" s="327"/>
      <c r="AL3" s="328"/>
      <c r="AM3" s="327"/>
      <c r="AN3" s="328"/>
      <c r="AO3" s="327"/>
      <c r="AP3" s="328"/>
      <c r="AQ3" s="327"/>
      <c r="AR3" s="328"/>
      <c r="AS3" s="327"/>
      <c r="AT3" s="328"/>
      <c r="AU3" s="327"/>
      <c r="AV3" s="328"/>
      <c r="AW3" s="327"/>
      <c r="AX3" s="328"/>
      <c r="AY3" s="327"/>
      <c r="AZ3" s="328"/>
      <c r="BA3" s="327"/>
      <c r="BB3" s="328"/>
      <c r="BC3" s="327"/>
      <c r="BD3" s="328"/>
      <c r="BE3" s="327"/>
      <c r="BF3" s="328"/>
      <c r="BG3" s="327"/>
      <c r="BH3" s="328"/>
      <c r="BI3" s="327"/>
      <c r="BJ3" s="328"/>
      <c r="BK3" s="327"/>
      <c r="BL3" s="328"/>
      <c r="BM3" s="327"/>
      <c r="BN3" s="328"/>
      <c r="BO3" s="327"/>
      <c r="BP3" s="328"/>
      <c r="BQ3" s="331"/>
      <c r="BR3" s="328"/>
      <c r="BS3" s="327"/>
      <c r="BT3" s="328"/>
      <c r="BU3" s="331"/>
      <c r="BV3" s="328"/>
      <c r="BW3" s="327"/>
      <c r="BX3" s="328"/>
      <c r="BY3" s="327"/>
      <c r="BZ3" s="328"/>
      <c r="CA3" s="331"/>
      <c r="CB3" s="328"/>
      <c r="CC3" s="331"/>
      <c r="CD3" s="328"/>
      <c r="CE3" s="327"/>
      <c r="CF3" s="328"/>
      <c r="CG3" s="327"/>
      <c r="CH3" s="328"/>
      <c r="CI3" s="327"/>
      <c r="CJ3" s="328"/>
      <c r="CK3" s="327"/>
      <c r="CL3" s="328"/>
      <c r="CM3" s="332"/>
      <c r="CN3" s="328"/>
      <c r="CO3" s="331"/>
      <c r="CP3" s="328"/>
      <c r="CQ3" s="327"/>
      <c r="CR3" s="328"/>
      <c r="CS3" s="327"/>
      <c r="CT3" s="328"/>
      <c r="CU3" s="327"/>
      <c r="CV3" s="328"/>
      <c r="CW3" s="329"/>
      <c r="CX3" s="328"/>
      <c r="CY3" s="327"/>
    </row>
    <row r="4" spans="1:107" x14ac:dyDescent="0.3">
      <c r="A4" s="326"/>
      <c r="B4" s="326"/>
      <c r="C4" s="326"/>
      <c r="D4" s="326" t="s">
        <v>609</v>
      </c>
      <c r="E4" s="326"/>
      <c r="F4" s="326"/>
      <c r="G4" s="326"/>
      <c r="H4" s="326"/>
      <c r="I4" s="327"/>
      <c r="J4" s="328"/>
      <c r="K4" s="327"/>
      <c r="L4" s="328"/>
      <c r="M4" s="329"/>
      <c r="N4" s="328"/>
      <c r="O4" s="327"/>
      <c r="P4" s="328"/>
      <c r="Q4" s="327"/>
      <c r="R4" s="328"/>
      <c r="S4" s="327"/>
      <c r="T4" s="328"/>
      <c r="U4" s="330"/>
      <c r="V4" s="328"/>
      <c r="W4" s="327"/>
      <c r="X4" s="328"/>
      <c r="Y4" s="327"/>
      <c r="Z4" s="328"/>
      <c r="AA4" s="327"/>
      <c r="AB4" s="328"/>
      <c r="AC4" s="327"/>
      <c r="AD4" s="328"/>
      <c r="AE4" s="327"/>
      <c r="AF4" s="328"/>
      <c r="AG4" s="331"/>
      <c r="AH4" s="328"/>
      <c r="AI4" s="327"/>
      <c r="AJ4" s="328"/>
      <c r="AK4" s="327"/>
      <c r="AL4" s="328"/>
      <c r="AM4" s="327"/>
      <c r="AN4" s="328"/>
      <c r="AO4" s="327"/>
      <c r="AP4" s="328"/>
      <c r="AQ4" s="327"/>
      <c r="AR4" s="328"/>
      <c r="AS4" s="327"/>
      <c r="AT4" s="328"/>
      <c r="AU4" s="327"/>
      <c r="AV4" s="328"/>
      <c r="AW4" s="327"/>
      <c r="AX4" s="328"/>
      <c r="AY4" s="327"/>
      <c r="AZ4" s="328"/>
      <c r="BA4" s="327"/>
      <c r="BB4" s="328"/>
      <c r="BC4" s="327"/>
      <c r="BD4" s="328"/>
      <c r="BE4" s="327"/>
      <c r="BF4" s="328"/>
      <c r="BG4" s="327"/>
      <c r="BH4" s="328"/>
      <c r="BI4" s="327"/>
      <c r="BJ4" s="328"/>
      <c r="BK4" s="327"/>
      <c r="BL4" s="328"/>
      <c r="BM4" s="327"/>
      <c r="BN4" s="328"/>
      <c r="BO4" s="327"/>
      <c r="BP4" s="328"/>
      <c r="BQ4" s="331"/>
      <c r="BR4" s="328"/>
      <c r="BS4" s="327"/>
      <c r="BT4" s="328"/>
      <c r="BU4" s="331"/>
      <c r="BV4" s="328"/>
      <c r="BW4" s="327"/>
      <c r="BX4" s="328"/>
      <c r="BY4" s="327"/>
      <c r="BZ4" s="328"/>
      <c r="CA4" s="331"/>
      <c r="CB4" s="328"/>
      <c r="CC4" s="331"/>
      <c r="CD4" s="328"/>
      <c r="CE4" s="327"/>
      <c r="CF4" s="328"/>
      <c r="CG4" s="327"/>
      <c r="CH4" s="328"/>
      <c r="CI4" s="327"/>
      <c r="CJ4" s="328"/>
      <c r="CK4" s="327"/>
      <c r="CL4" s="328"/>
      <c r="CM4" s="332"/>
      <c r="CN4" s="328"/>
      <c r="CO4" s="331"/>
      <c r="CP4" s="328"/>
      <c r="CQ4" s="327"/>
      <c r="CR4" s="328"/>
      <c r="CS4" s="327"/>
      <c r="CT4" s="328"/>
      <c r="CU4" s="327"/>
      <c r="CV4" s="328"/>
      <c r="CW4" s="329"/>
      <c r="CX4" s="328"/>
      <c r="CY4" s="327"/>
    </row>
    <row r="5" spans="1:107" x14ac:dyDescent="0.3">
      <c r="A5" s="326"/>
      <c r="B5" s="326"/>
      <c r="C5" s="326"/>
      <c r="D5" s="326"/>
      <c r="E5" s="326" t="s">
        <v>610</v>
      </c>
      <c r="F5" s="326"/>
      <c r="G5" s="326"/>
      <c r="H5" s="326"/>
      <c r="I5" s="327">
        <v>0</v>
      </c>
      <c r="J5" s="328"/>
      <c r="K5" s="327">
        <v>0</v>
      </c>
      <c r="L5" s="328"/>
      <c r="M5" s="329">
        <f t="shared" ref="M5:M13" si="0">ROUND(SUM(I5:K5),5)</f>
        <v>0</v>
      </c>
      <c r="N5" s="328"/>
      <c r="O5" s="327">
        <v>0</v>
      </c>
      <c r="P5" s="328"/>
      <c r="Q5" s="327">
        <v>0</v>
      </c>
      <c r="R5" s="328"/>
      <c r="S5" s="327">
        <v>0</v>
      </c>
      <c r="T5" s="328"/>
      <c r="U5" s="330">
        <f t="shared" ref="U5:U13" si="1">ROUND(SUM(O5:S5),5)</f>
        <v>0</v>
      </c>
      <c r="V5" s="328"/>
      <c r="W5" s="327">
        <v>185471.06</v>
      </c>
      <c r="X5" s="328"/>
      <c r="Y5" s="327">
        <v>133162.81</v>
      </c>
      <c r="Z5" s="328"/>
      <c r="AA5" s="327">
        <v>4727288.33</v>
      </c>
      <c r="AB5" s="328"/>
      <c r="AC5" s="327">
        <v>14867</v>
      </c>
      <c r="AD5" s="328"/>
      <c r="AE5" s="327">
        <v>7358.96</v>
      </c>
      <c r="AF5" s="328"/>
      <c r="AG5" s="331">
        <f t="shared" ref="AG5:AG13" si="2">ROUND(SUM(AA5:AE5),5)</f>
        <v>4749514.29</v>
      </c>
      <c r="AH5" s="328"/>
      <c r="AI5" s="327">
        <v>266334.40000000002</v>
      </c>
      <c r="AJ5" s="328"/>
      <c r="AK5" s="327">
        <v>244176.82</v>
      </c>
      <c r="AL5" s="328"/>
      <c r="AM5" s="327">
        <v>335392.94</v>
      </c>
      <c r="AN5" s="328"/>
      <c r="AO5" s="327">
        <v>809780.49</v>
      </c>
      <c r="AP5" s="328"/>
      <c r="AQ5" s="327">
        <f t="shared" ref="AQ5:AQ13" si="3">ROUND(SUM(AI5:AO5),5)</f>
        <v>1655684.65</v>
      </c>
      <c r="AR5" s="328"/>
      <c r="AS5" s="327">
        <v>93881.38</v>
      </c>
      <c r="AT5" s="328"/>
      <c r="AU5" s="327">
        <v>122111.69</v>
      </c>
      <c r="AV5" s="328"/>
      <c r="AW5" s="327">
        <v>105105.92</v>
      </c>
      <c r="AX5" s="328"/>
      <c r="AY5" s="327">
        <v>84203.49</v>
      </c>
      <c r="AZ5" s="328"/>
      <c r="BA5" s="327">
        <v>360224.52</v>
      </c>
      <c r="BB5" s="328"/>
      <c r="BC5" s="327">
        <v>96751.88</v>
      </c>
      <c r="BD5" s="328"/>
      <c r="BE5" s="327">
        <v>586987.54</v>
      </c>
      <c r="BF5" s="328"/>
      <c r="BG5" s="327">
        <v>6943.39</v>
      </c>
      <c r="BH5" s="328"/>
      <c r="BI5" s="327">
        <v>214063.67</v>
      </c>
      <c r="BJ5" s="328"/>
      <c r="BK5" s="327">
        <v>0</v>
      </c>
      <c r="BL5" s="328"/>
      <c r="BM5" s="327">
        <f t="shared" ref="BM5:BM13" si="4">ROUND(SUM(AU5:BK5),5)</f>
        <v>1576392.1</v>
      </c>
      <c r="BN5" s="328"/>
      <c r="BO5" s="327">
        <f t="shared" ref="BO5:BO13" si="5">ROUND(SUM(W5:Y5)+AG5+SUM(AQ5:AS5)+BM5,5)</f>
        <v>8394106.2899999991</v>
      </c>
      <c r="BP5" s="328"/>
      <c r="BQ5" s="331">
        <v>0</v>
      </c>
      <c r="BR5" s="328"/>
      <c r="BS5" s="327">
        <v>0</v>
      </c>
      <c r="BT5" s="328"/>
      <c r="BU5" s="331">
        <v>0</v>
      </c>
      <c r="BV5" s="328"/>
      <c r="BW5" s="327">
        <v>0</v>
      </c>
      <c r="BX5" s="328"/>
      <c r="BY5" s="327">
        <v>0</v>
      </c>
      <c r="BZ5" s="328"/>
      <c r="CA5" s="331">
        <v>0</v>
      </c>
      <c r="CB5" s="328"/>
      <c r="CC5" s="331">
        <v>0</v>
      </c>
      <c r="CD5" s="328"/>
      <c r="CE5" s="327">
        <v>0</v>
      </c>
      <c r="CF5" s="328"/>
      <c r="CG5" s="327">
        <v>0</v>
      </c>
      <c r="CH5" s="328"/>
      <c r="CI5" s="327">
        <v>0</v>
      </c>
      <c r="CJ5" s="328"/>
      <c r="CK5" s="327">
        <v>0</v>
      </c>
      <c r="CL5" s="328"/>
      <c r="CM5" s="332">
        <f t="shared" ref="CM5:CM13" si="6">ROUND(SUM(CE5:CK5),5)</f>
        <v>0</v>
      </c>
      <c r="CN5" s="328"/>
      <c r="CO5" s="331">
        <v>0</v>
      </c>
      <c r="CP5" s="328"/>
      <c r="CQ5" s="327">
        <v>0</v>
      </c>
      <c r="CR5" s="328"/>
      <c r="CS5" s="327">
        <f t="shared" ref="CS5:CS13" si="7">ROUND(SUM(BQ5:CC5)+SUM(CM5:CQ5),5)</f>
        <v>0</v>
      </c>
      <c r="CT5" s="328"/>
      <c r="CU5" s="327">
        <f t="shared" ref="CU5:CU13" si="8">ROUND(BO5+CS5,5)</f>
        <v>8394106.2899999991</v>
      </c>
      <c r="CV5" s="328"/>
      <c r="CW5" s="329">
        <v>0</v>
      </c>
      <c r="CX5" s="328"/>
      <c r="CY5" s="327">
        <f t="shared" ref="CY5:CY13" si="9">ROUND(M5+U5+SUM(CU5:CW5),5)</f>
        <v>8394106.2899999991</v>
      </c>
    </row>
    <row r="6" spans="1:107" x14ac:dyDescent="0.3">
      <c r="A6" s="326"/>
      <c r="B6" s="326"/>
      <c r="C6" s="326"/>
      <c r="D6" s="326"/>
      <c r="E6" s="326" t="s">
        <v>611</v>
      </c>
      <c r="F6" s="326"/>
      <c r="G6" s="326"/>
      <c r="H6" s="326"/>
      <c r="I6" s="327">
        <v>0</v>
      </c>
      <c r="J6" s="328"/>
      <c r="K6" s="327">
        <v>13572.42</v>
      </c>
      <c r="L6" s="328"/>
      <c r="M6" s="329">
        <f t="shared" si="0"/>
        <v>13572.42</v>
      </c>
      <c r="N6" s="328"/>
      <c r="O6" s="327">
        <v>520130.01</v>
      </c>
      <c r="P6" s="328"/>
      <c r="Q6" s="327">
        <v>0</v>
      </c>
      <c r="R6" s="328"/>
      <c r="S6" s="327">
        <v>364215.03</v>
      </c>
      <c r="T6" s="328"/>
      <c r="U6" s="330">
        <f t="shared" si="1"/>
        <v>884345.04</v>
      </c>
      <c r="V6" s="328"/>
      <c r="W6" s="327">
        <v>0</v>
      </c>
      <c r="X6" s="328"/>
      <c r="Y6" s="327">
        <v>0</v>
      </c>
      <c r="Z6" s="328"/>
      <c r="AA6" s="327">
        <v>0</v>
      </c>
      <c r="AB6" s="328"/>
      <c r="AC6" s="327">
        <v>0</v>
      </c>
      <c r="AD6" s="328"/>
      <c r="AE6" s="327">
        <v>0</v>
      </c>
      <c r="AF6" s="328"/>
      <c r="AG6" s="331">
        <f t="shared" si="2"/>
        <v>0</v>
      </c>
      <c r="AH6" s="328"/>
      <c r="AI6" s="327">
        <v>0</v>
      </c>
      <c r="AJ6" s="328"/>
      <c r="AK6" s="327">
        <v>0</v>
      </c>
      <c r="AL6" s="328"/>
      <c r="AM6" s="327">
        <v>0</v>
      </c>
      <c r="AN6" s="328"/>
      <c r="AO6" s="327">
        <v>0</v>
      </c>
      <c r="AP6" s="328"/>
      <c r="AQ6" s="327">
        <f t="shared" si="3"/>
        <v>0</v>
      </c>
      <c r="AR6" s="328"/>
      <c r="AS6" s="327">
        <v>0</v>
      </c>
      <c r="AT6" s="328"/>
      <c r="AU6" s="327">
        <v>0</v>
      </c>
      <c r="AV6" s="328"/>
      <c r="AW6" s="327">
        <v>0</v>
      </c>
      <c r="AX6" s="328"/>
      <c r="AY6" s="327">
        <v>0</v>
      </c>
      <c r="AZ6" s="328"/>
      <c r="BA6" s="327">
        <v>0</v>
      </c>
      <c r="BB6" s="328"/>
      <c r="BC6" s="327">
        <v>0</v>
      </c>
      <c r="BD6" s="328"/>
      <c r="BE6" s="327">
        <v>100</v>
      </c>
      <c r="BF6" s="328"/>
      <c r="BG6" s="327">
        <v>0</v>
      </c>
      <c r="BH6" s="328"/>
      <c r="BI6" s="327">
        <v>0</v>
      </c>
      <c r="BJ6" s="328"/>
      <c r="BK6" s="327">
        <v>441.31</v>
      </c>
      <c r="BL6" s="328"/>
      <c r="BM6" s="327">
        <f t="shared" si="4"/>
        <v>541.30999999999995</v>
      </c>
      <c r="BN6" s="328"/>
      <c r="BO6" s="327">
        <f t="shared" si="5"/>
        <v>541.30999999999995</v>
      </c>
      <c r="BP6" s="328"/>
      <c r="BQ6" s="331">
        <v>0</v>
      </c>
      <c r="BR6" s="328"/>
      <c r="BS6" s="327">
        <v>0</v>
      </c>
      <c r="BT6" s="328"/>
      <c r="BU6" s="331">
        <v>0</v>
      </c>
      <c r="BV6" s="328"/>
      <c r="BW6" s="327">
        <v>6366.69</v>
      </c>
      <c r="BX6" s="328"/>
      <c r="BY6" s="327">
        <v>0</v>
      </c>
      <c r="BZ6" s="328"/>
      <c r="CA6" s="331">
        <v>0</v>
      </c>
      <c r="CB6" s="328"/>
      <c r="CC6" s="331">
        <v>0</v>
      </c>
      <c r="CD6" s="328"/>
      <c r="CE6" s="327">
        <v>3463</v>
      </c>
      <c r="CF6" s="328"/>
      <c r="CG6" s="327">
        <v>25</v>
      </c>
      <c r="CH6" s="328"/>
      <c r="CI6" s="327">
        <v>0</v>
      </c>
      <c r="CJ6" s="328"/>
      <c r="CK6" s="327">
        <v>0</v>
      </c>
      <c r="CL6" s="328"/>
      <c r="CM6" s="332">
        <f t="shared" si="6"/>
        <v>3488</v>
      </c>
      <c r="CN6" s="328"/>
      <c r="CO6" s="331">
        <v>207.56</v>
      </c>
      <c r="CP6" s="328"/>
      <c r="CQ6" s="327">
        <v>0</v>
      </c>
      <c r="CR6" s="328"/>
      <c r="CS6" s="327">
        <f t="shared" si="7"/>
        <v>10062.25</v>
      </c>
      <c r="CT6" s="328"/>
      <c r="CU6" s="327">
        <f t="shared" si="8"/>
        <v>10603.56</v>
      </c>
      <c r="CV6" s="328"/>
      <c r="CW6" s="329">
        <v>0</v>
      </c>
      <c r="CX6" s="328"/>
      <c r="CY6" s="327">
        <f t="shared" si="9"/>
        <v>908521.02</v>
      </c>
    </row>
    <row r="7" spans="1:107" x14ac:dyDescent="0.3">
      <c r="A7" s="326"/>
      <c r="B7" s="326"/>
      <c r="C7" s="326"/>
      <c r="D7" s="326"/>
      <c r="E7" s="326" t="s">
        <v>612</v>
      </c>
      <c r="F7" s="326"/>
      <c r="G7" s="326"/>
      <c r="H7" s="326"/>
      <c r="I7" s="327">
        <v>0</v>
      </c>
      <c r="J7" s="328"/>
      <c r="K7" s="327">
        <v>0</v>
      </c>
      <c r="L7" s="328"/>
      <c r="M7" s="329">
        <f t="shared" si="0"/>
        <v>0</v>
      </c>
      <c r="N7" s="328"/>
      <c r="O7" s="327">
        <v>0</v>
      </c>
      <c r="P7" s="328"/>
      <c r="Q7" s="327">
        <v>0</v>
      </c>
      <c r="R7" s="328"/>
      <c r="S7" s="327">
        <v>146974.67000000001</v>
      </c>
      <c r="T7" s="328"/>
      <c r="U7" s="330">
        <f t="shared" si="1"/>
        <v>146974.67000000001</v>
      </c>
      <c r="V7" s="328"/>
      <c r="W7" s="327">
        <v>0</v>
      </c>
      <c r="X7" s="328"/>
      <c r="Y7" s="327">
        <v>0</v>
      </c>
      <c r="Z7" s="328"/>
      <c r="AA7" s="327">
        <v>0</v>
      </c>
      <c r="AB7" s="328"/>
      <c r="AC7" s="327">
        <v>0</v>
      </c>
      <c r="AD7" s="328"/>
      <c r="AE7" s="327">
        <v>0</v>
      </c>
      <c r="AF7" s="328"/>
      <c r="AG7" s="331">
        <f t="shared" si="2"/>
        <v>0</v>
      </c>
      <c r="AH7" s="328"/>
      <c r="AI7" s="327">
        <v>0</v>
      </c>
      <c r="AJ7" s="328"/>
      <c r="AK7" s="327">
        <v>0</v>
      </c>
      <c r="AL7" s="328"/>
      <c r="AM7" s="327">
        <v>0</v>
      </c>
      <c r="AN7" s="328"/>
      <c r="AO7" s="327">
        <v>0</v>
      </c>
      <c r="AP7" s="328"/>
      <c r="AQ7" s="327">
        <f t="shared" si="3"/>
        <v>0</v>
      </c>
      <c r="AR7" s="328"/>
      <c r="AS7" s="327">
        <v>0</v>
      </c>
      <c r="AT7" s="328"/>
      <c r="AU7" s="327">
        <v>0</v>
      </c>
      <c r="AV7" s="328"/>
      <c r="AW7" s="327">
        <v>0</v>
      </c>
      <c r="AX7" s="328"/>
      <c r="AY7" s="327">
        <v>0</v>
      </c>
      <c r="AZ7" s="328"/>
      <c r="BA7" s="327">
        <v>0</v>
      </c>
      <c r="BB7" s="328"/>
      <c r="BC7" s="327">
        <v>0</v>
      </c>
      <c r="BD7" s="328"/>
      <c r="BE7" s="327">
        <v>0</v>
      </c>
      <c r="BF7" s="328"/>
      <c r="BG7" s="327">
        <v>0</v>
      </c>
      <c r="BH7" s="328"/>
      <c r="BI7" s="327">
        <v>0</v>
      </c>
      <c r="BJ7" s="328"/>
      <c r="BK7" s="327">
        <v>0</v>
      </c>
      <c r="BL7" s="328"/>
      <c r="BM7" s="327">
        <f t="shared" si="4"/>
        <v>0</v>
      </c>
      <c r="BN7" s="328"/>
      <c r="BO7" s="327">
        <f t="shared" si="5"/>
        <v>0</v>
      </c>
      <c r="BP7" s="328"/>
      <c r="BQ7" s="331">
        <v>664.15</v>
      </c>
      <c r="BR7" s="328"/>
      <c r="BS7" s="327">
        <v>0</v>
      </c>
      <c r="BT7" s="328"/>
      <c r="BU7" s="331">
        <v>0</v>
      </c>
      <c r="BV7" s="328"/>
      <c r="BW7" s="327">
        <v>456.58</v>
      </c>
      <c r="BX7" s="328"/>
      <c r="BY7" s="327">
        <v>0</v>
      </c>
      <c r="BZ7" s="328"/>
      <c r="CA7" s="331">
        <v>4209.13</v>
      </c>
      <c r="CB7" s="328"/>
      <c r="CC7" s="331">
        <v>0</v>
      </c>
      <c r="CD7" s="328"/>
      <c r="CE7" s="327">
        <v>0</v>
      </c>
      <c r="CF7" s="328"/>
      <c r="CG7" s="327">
        <v>373.37</v>
      </c>
      <c r="CH7" s="328"/>
      <c r="CI7" s="327">
        <v>0</v>
      </c>
      <c r="CJ7" s="328"/>
      <c r="CK7" s="327">
        <v>0</v>
      </c>
      <c r="CL7" s="328"/>
      <c r="CM7" s="332">
        <f t="shared" si="6"/>
        <v>373.37</v>
      </c>
      <c r="CN7" s="328"/>
      <c r="CO7" s="331">
        <v>0</v>
      </c>
      <c r="CP7" s="328"/>
      <c r="CQ7" s="327">
        <v>0</v>
      </c>
      <c r="CR7" s="328"/>
      <c r="CS7" s="327">
        <f t="shared" si="7"/>
        <v>5703.23</v>
      </c>
      <c r="CT7" s="328"/>
      <c r="CU7" s="327">
        <f t="shared" si="8"/>
        <v>5703.23</v>
      </c>
      <c r="CV7" s="328"/>
      <c r="CW7" s="329">
        <v>0</v>
      </c>
      <c r="CX7" s="328"/>
      <c r="CY7" s="327">
        <f t="shared" si="9"/>
        <v>152677.9</v>
      </c>
    </row>
    <row r="8" spans="1:107" x14ac:dyDescent="0.3">
      <c r="A8" s="326"/>
      <c r="B8" s="326"/>
      <c r="C8" s="326"/>
      <c r="D8" s="326"/>
      <c r="E8" s="326" t="s">
        <v>613</v>
      </c>
      <c r="F8" s="326"/>
      <c r="G8" s="326"/>
      <c r="H8" s="326"/>
      <c r="I8" s="327">
        <v>0</v>
      </c>
      <c r="J8" s="328"/>
      <c r="K8" s="327">
        <v>0</v>
      </c>
      <c r="L8" s="328"/>
      <c r="M8" s="329">
        <f t="shared" si="0"/>
        <v>0</v>
      </c>
      <c r="N8" s="328"/>
      <c r="O8" s="327">
        <v>0</v>
      </c>
      <c r="P8" s="328"/>
      <c r="Q8" s="327">
        <v>0</v>
      </c>
      <c r="R8" s="328"/>
      <c r="S8" s="327">
        <v>0</v>
      </c>
      <c r="T8" s="328"/>
      <c r="U8" s="330">
        <f t="shared" si="1"/>
        <v>0</v>
      </c>
      <c r="V8" s="328"/>
      <c r="W8" s="327">
        <v>0</v>
      </c>
      <c r="X8" s="328"/>
      <c r="Y8" s="327">
        <v>0</v>
      </c>
      <c r="Z8" s="328"/>
      <c r="AA8" s="327">
        <v>0</v>
      </c>
      <c r="AB8" s="328"/>
      <c r="AC8" s="327">
        <v>0</v>
      </c>
      <c r="AD8" s="328"/>
      <c r="AE8" s="327">
        <v>0</v>
      </c>
      <c r="AF8" s="328"/>
      <c r="AG8" s="331">
        <f t="shared" si="2"/>
        <v>0</v>
      </c>
      <c r="AH8" s="328"/>
      <c r="AI8" s="327">
        <v>0</v>
      </c>
      <c r="AJ8" s="328"/>
      <c r="AK8" s="327">
        <v>0</v>
      </c>
      <c r="AL8" s="328"/>
      <c r="AM8" s="327">
        <v>0</v>
      </c>
      <c r="AN8" s="328"/>
      <c r="AO8" s="327">
        <v>0</v>
      </c>
      <c r="AP8" s="328"/>
      <c r="AQ8" s="327">
        <f t="shared" si="3"/>
        <v>0</v>
      </c>
      <c r="AR8" s="328"/>
      <c r="AS8" s="327">
        <v>0</v>
      </c>
      <c r="AT8" s="328"/>
      <c r="AU8" s="327">
        <v>0</v>
      </c>
      <c r="AV8" s="328"/>
      <c r="AW8" s="327">
        <v>0</v>
      </c>
      <c r="AX8" s="328"/>
      <c r="AY8" s="327">
        <v>0</v>
      </c>
      <c r="AZ8" s="328"/>
      <c r="BA8" s="327">
        <v>0</v>
      </c>
      <c r="BB8" s="328"/>
      <c r="BC8" s="327">
        <v>0</v>
      </c>
      <c r="BD8" s="328"/>
      <c r="BE8" s="327">
        <v>0</v>
      </c>
      <c r="BF8" s="328"/>
      <c r="BG8" s="327">
        <v>0</v>
      </c>
      <c r="BH8" s="328"/>
      <c r="BI8" s="327">
        <v>0</v>
      </c>
      <c r="BJ8" s="328"/>
      <c r="BK8" s="327">
        <v>0</v>
      </c>
      <c r="BL8" s="328"/>
      <c r="BM8" s="327">
        <f t="shared" si="4"/>
        <v>0</v>
      </c>
      <c r="BN8" s="328"/>
      <c r="BO8" s="327">
        <f t="shared" si="5"/>
        <v>0</v>
      </c>
      <c r="BP8" s="328"/>
      <c r="BQ8" s="331">
        <v>12179.1</v>
      </c>
      <c r="BR8" s="328"/>
      <c r="BS8" s="327">
        <v>0</v>
      </c>
      <c r="BT8" s="328"/>
      <c r="BU8" s="331">
        <v>0</v>
      </c>
      <c r="BV8" s="328"/>
      <c r="BW8" s="327">
        <v>0</v>
      </c>
      <c r="BX8" s="328"/>
      <c r="BY8" s="327">
        <v>0</v>
      </c>
      <c r="BZ8" s="328"/>
      <c r="CA8" s="331">
        <v>0</v>
      </c>
      <c r="CB8" s="328"/>
      <c r="CC8" s="331">
        <v>0</v>
      </c>
      <c r="CD8" s="328"/>
      <c r="CE8" s="327">
        <v>0</v>
      </c>
      <c r="CF8" s="328"/>
      <c r="CG8" s="327">
        <v>0</v>
      </c>
      <c r="CH8" s="328"/>
      <c r="CI8" s="327">
        <v>0</v>
      </c>
      <c r="CJ8" s="328"/>
      <c r="CK8" s="327">
        <v>0</v>
      </c>
      <c r="CL8" s="328"/>
      <c r="CM8" s="332">
        <f t="shared" si="6"/>
        <v>0</v>
      </c>
      <c r="CN8" s="328"/>
      <c r="CO8" s="331">
        <v>0</v>
      </c>
      <c r="CP8" s="328"/>
      <c r="CQ8" s="327">
        <v>0</v>
      </c>
      <c r="CR8" s="328"/>
      <c r="CS8" s="327">
        <f t="shared" si="7"/>
        <v>12179.1</v>
      </c>
      <c r="CT8" s="328"/>
      <c r="CU8" s="327">
        <f t="shared" si="8"/>
        <v>12179.1</v>
      </c>
      <c r="CV8" s="328"/>
      <c r="CW8" s="329">
        <v>0</v>
      </c>
      <c r="CX8" s="328"/>
      <c r="CY8" s="327">
        <f t="shared" si="9"/>
        <v>12179.1</v>
      </c>
    </row>
    <row r="9" spans="1:107" x14ac:dyDescent="0.3">
      <c r="A9" s="326"/>
      <c r="B9" s="326"/>
      <c r="C9" s="326"/>
      <c r="D9" s="326"/>
      <c r="E9" s="326" t="s">
        <v>614</v>
      </c>
      <c r="F9" s="326"/>
      <c r="G9" s="326"/>
      <c r="H9" s="326"/>
      <c r="I9" s="327">
        <v>0</v>
      </c>
      <c r="J9" s="328"/>
      <c r="K9" s="327">
        <v>0</v>
      </c>
      <c r="L9" s="328"/>
      <c r="M9" s="329">
        <f t="shared" si="0"/>
        <v>0</v>
      </c>
      <c r="N9" s="328"/>
      <c r="O9" s="327">
        <v>0</v>
      </c>
      <c r="P9" s="328"/>
      <c r="Q9" s="327">
        <v>0</v>
      </c>
      <c r="R9" s="328"/>
      <c r="S9" s="327">
        <v>130000</v>
      </c>
      <c r="T9" s="328"/>
      <c r="U9" s="330">
        <f t="shared" si="1"/>
        <v>130000</v>
      </c>
      <c r="V9" s="328"/>
      <c r="W9" s="327">
        <v>0</v>
      </c>
      <c r="X9" s="328"/>
      <c r="Y9" s="327">
        <v>0</v>
      </c>
      <c r="Z9" s="328"/>
      <c r="AA9" s="327">
        <v>0</v>
      </c>
      <c r="AB9" s="328"/>
      <c r="AC9" s="327">
        <v>0</v>
      </c>
      <c r="AD9" s="328"/>
      <c r="AE9" s="327">
        <v>0</v>
      </c>
      <c r="AF9" s="328"/>
      <c r="AG9" s="331">
        <f t="shared" si="2"/>
        <v>0</v>
      </c>
      <c r="AH9" s="328"/>
      <c r="AI9" s="327">
        <v>0</v>
      </c>
      <c r="AJ9" s="328"/>
      <c r="AK9" s="327">
        <v>0</v>
      </c>
      <c r="AL9" s="328"/>
      <c r="AM9" s="327">
        <v>0</v>
      </c>
      <c r="AN9" s="328"/>
      <c r="AO9" s="327">
        <v>0</v>
      </c>
      <c r="AP9" s="328"/>
      <c r="AQ9" s="327">
        <f t="shared" si="3"/>
        <v>0</v>
      </c>
      <c r="AR9" s="328"/>
      <c r="AS9" s="327">
        <v>0</v>
      </c>
      <c r="AT9" s="328"/>
      <c r="AU9" s="327">
        <v>0</v>
      </c>
      <c r="AV9" s="328"/>
      <c r="AW9" s="327">
        <v>0</v>
      </c>
      <c r="AX9" s="328"/>
      <c r="AY9" s="327">
        <v>0</v>
      </c>
      <c r="AZ9" s="328"/>
      <c r="BA9" s="327">
        <v>0</v>
      </c>
      <c r="BB9" s="328"/>
      <c r="BC9" s="327">
        <v>0</v>
      </c>
      <c r="BD9" s="328"/>
      <c r="BE9" s="327">
        <v>0</v>
      </c>
      <c r="BF9" s="328"/>
      <c r="BG9" s="327">
        <v>0</v>
      </c>
      <c r="BH9" s="328"/>
      <c r="BI9" s="327">
        <v>0</v>
      </c>
      <c r="BJ9" s="328"/>
      <c r="BK9" s="327">
        <v>0</v>
      </c>
      <c r="BL9" s="328"/>
      <c r="BM9" s="327">
        <f t="shared" si="4"/>
        <v>0</v>
      </c>
      <c r="BN9" s="328"/>
      <c r="BO9" s="327">
        <f t="shared" si="5"/>
        <v>0</v>
      </c>
      <c r="BP9" s="328"/>
      <c r="BQ9" s="331">
        <v>100075</v>
      </c>
      <c r="BR9" s="328"/>
      <c r="BS9" s="327">
        <v>0</v>
      </c>
      <c r="BT9" s="328"/>
      <c r="BU9" s="331">
        <v>0</v>
      </c>
      <c r="BV9" s="328"/>
      <c r="BW9" s="327">
        <v>0</v>
      </c>
      <c r="BX9" s="328"/>
      <c r="BY9" s="327">
        <v>0</v>
      </c>
      <c r="BZ9" s="328"/>
      <c r="CA9" s="331">
        <v>0</v>
      </c>
      <c r="CB9" s="328"/>
      <c r="CC9" s="331">
        <v>0</v>
      </c>
      <c r="CD9" s="328"/>
      <c r="CE9" s="327">
        <v>0</v>
      </c>
      <c r="CF9" s="328"/>
      <c r="CG9" s="327">
        <v>25000</v>
      </c>
      <c r="CH9" s="328"/>
      <c r="CI9" s="327">
        <v>0</v>
      </c>
      <c r="CJ9" s="328"/>
      <c r="CK9" s="327">
        <v>0</v>
      </c>
      <c r="CL9" s="328"/>
      <c r="CM9" s="332">
        <f t="shared" si="6"/>
        <v>25000</v>
      </c>
      <c r="CN9" s="328"/>
      <c r="CO9" s="331">
        <v>0</v>
      </c>
      <c r="CP9" s="328"/>
      <c r="CQ9" s="327">
        <v>0</v>
      </c>
      <c r="CR9" s="328"/>
      <c r="CS9" s="327">
        <f t="shared" si="7"/>
        <v>125075</v>
      </c>
      <c r="CT9" s="328"/>
      <c r="CU9" s="327">
        <f t="shared" si="8"/>
        <v>125075</v>
      </c>
      <c r="CV9" s="328"/>
      <c r="CW9" s="329">
        <v>0</v>
      </c>
      <c r="CX9" s="328"/>
      <c r="CY9" s="327">
        <f t="shared" si="9"/>
        <v>255075</v>
      </c>
    </row>
    <row r="10" spans="1:107" x14ac:dyDescent="0.3">
      <c r="A10" s="326"/>
      <c r="B10" s="326"/>
      <c r="C10" s="326"/>
      <c r="D10" s="326"/>
      <c r="E10" s="326" t="s">
        <v>615</v>
      </c>
      <c r="F10" s="326"/>
      <c r="G10" s="326"/>
      <c r="H10" s="326"/>
      <c r="I10" s="327">
        <v>0</v>
      </c>
      <c r="J10" s="328"/>
      <c r="K10" s="327">
        <v>176083.77</v>
      </c>
      <c r="L10" s="328"/>
      <c r="M10" s="329">
        <f t="shared" si="0"/>
        <v>176083.77</v>
      </c>
      <c r="N10" s="328"/>
      <c r="O10" s="327">
        <v>0</v>
      </c>
      <c r="P10" s="328"/>
      <c r="Q10" s="327">
        <v>0</v>
      </c>
      <c r="R10" s="328"/>
      <c r="S10" s="327">
        <v>0</v>
      </c>
      <c r="T10" s="328"/>
      <c r="U10" s="330">
        <f t="shared" si="1"/>
        <v>0</v>
      </c>
      <c r="V10" s="328"/>
      <c r="W10" s="327">
        <v>0</v>
      </c>
      <c r="X10" s="328"/>
      <c r="Y10" s="327">
        <v>0</v>
      </c>
      <c r="Z10" s="328"/>
      <c r="AA10" s="327">
        <v>0</v>
      </c>
      <c r="AB10" s="328"/>
      <c r="AC10" s="327">
        <v>0</v>
      </c>
      <c r="AD10" s="328"/>
      <c r="AE10" s="327">
        <v>0</v>
      </c>
      <c r="AF10" s="328"/>
      <c r="AG10" s="331">
        <f t="shared" si="2"/>
        <v>0</v>
      </c>
      <c r="AH10" s="328"/>
      <c r="AI10" s="327">
        <v>0</v>
      </c>
      <c r="AJ10" s="328"/>
      <c r="AK10" s="327">
        <v>0</v>
      </c>
      <c r="AL10" s="328"/>
      <c r="AM10" s="327">
        <v>0</v>
      </c>
      <c r="AN10" s="328"/>
      <c r="AO10" s="327">
        <v>0</v>
      </c>
      <c r="AP10" s="328"/>
      <c r="AQ10" s="327">
        <f t="shared" si="3"/>
        <v>0</v>
      </c>
      <c r="AR10" s="328"/>
      <c r="AS10" s="327">
        <v>0</v>
      </c>
      <c r="AT10" s="328"/>
      <c r="AU10" s="327">
        <v>0</v>
      </c>
      <c r="AV10" s="328"/>
      <c r="AW10" s="327">
        <v>0</v>
      </c>
      <c r="AX10" s="328"/>
      <c r="AY10" s="327">
        <v>0</v>
      </c>
      <c r="AZ10" s="328"/>
      <c r="BA10" s="327">
        <v>0</v>
      </c>
      <c r="BB10" s="328"/>
      <c r="BC10" s="327">
        <v>0</v>
      </c>
      <c r="BD10" s="328"/>
      <c r="BE10" s="327">
        <v>0</v>
      </c>
      <c r="BF10" s="328"/>
      <c r="BG10" s="327">
        <v>0</v>
      </c>
      <c r="BH10" s="328"/>
      <c r="BI10" s="327">
        <v>0</v>
      </c>
      <c r="BJ10" s="328"/>
      <c r="BK10" s="327">
        <v>0</v>
      </c>
      <c r="BL10" s="328"/>
      <c r="BM10" s="327">
        <f t="shared" si="4"/>
        <v>0</v>
      </c>
      <c r="BN10" s="328"/>
      <c r="BO10" s="327">
        <f t="shared" si="5"/>
        <v>0</v>
      </c>
      <c r="BP10" s="328"/>
      <c r="BQ10" s="331">
        <v>0</v>
      </c>
      <c r="BR10" s="328"/>
      <c r="BS10" s="327">
        <v>0</v>
      </c>
      <c r="BT10" s="328"/>
      <c r="BU10" s="331">
        <v>0</v>
      </c>
      <c r="BV10" s="328"/>
      <c r="BW10" s="327">
        <v>0</v>
      </c>
      <c r="BX10" s="328"/>
      <c r="BY10" s="327">
        <v>0</v>
      </c>
      <c r="BZ10" s="328"/>
      <c r="CA10" s="331">
        <v>0</v>
      </c>
      <c r="CB10" s="328"/>
      <c r="CC10" s="331">
        <v>0</v>
      </c>
      <c r="CD10" s="328"/>
      <c r="CE10" s="327">
        <v>0</v>
      </c>
      <c r="CF10" s="328"/>
      <c r="CG10" s="327">
        <v>0</v>
      </c>
      <c r="CH10" s="328"/>
      <c r="CI10" s="327">
        <v>0</v>
      </c>
      <c r="CJ10" s="328"/>
      <c r="CK10" s="327">
        <v>0</v>
      </c>
      <c r="CL10" s="328"/>
      <c r="CM10" s="332">
        <f t="shared" si="6"/>
        <v>0</v>
      </c>
      <c r="CN10" s="328"/>
      <c r="CO10" s="331">
        <v>0</v>
      </c>
      <c r="CP10" s="328"/>
      <c r="CQ10" s="327">
        <v>0</v>
      </c>
      <c r="CR10" s="328"/>
      <c r="CS10" s="327">
        <f t="shared" si="7"/>
        <v>0</v>
      </c>
      <c r="CT10" s="328"/>
      <c r="CU10" s="327">
        <f t="shared" si="8"/>
        <v>0</v>
      </c>
      <c r="CV10" s="328"/>
      <c r="CW10" s="329">
        <v>0</v>
      </c>
      <c r="CX10" s="328"/>
      <c r="CY10" s="327">
        <f t="shared" si="9"/>
        <v>176083.77</v>
      </c>
    </row>
    <row r="11" spans="1:107" ht="15" thickBot="1" x14ac:dyDescent="0.35">
      <c r="A11" s="326"/>
      <c r="B11" s="326"/>
      <c r="C11" s="326"/>
      <c r="D11" s="326"/>
      <c r="E11" s="326" t="s">
        <v>616</v>
      </c>
      <c r="F11" s="326"/>
      <c r="G11" s="326"/>
      <c r="H11" s="326"/>
      <c r="I11" s="327">
        <v>31653.96</v>
      </c>
      <c r="J11" s="328"/>
      <c r="K11" s="327">
        <v>0</v>
      </c>
      <c r="L11" s="328"/>
      <c r="M11" s="329">
        <f t="shared" si="0"/>
        <v>31653.96</v>
      </c>
      <c r="N11" s="328"/>
      <c r="O11" s="327">
        <v>0</v>
      </c>
      <c r="P11" s="328"/>
      <c r="Q11" s="327">
        <v>9388.2199999999993</v>
      </c>
      <c r="R11" s="328"/>
      <c r="S11" s="327">
        <v>0</v>
      </c>
      <c r="T11" s="328"/>
      <c r="U11" s="330">
        <f t="shared" si="1"/>
        <v>9388.2199999999993</v>
      </c>
      <c r="V11" s="328"/>
      <c r="W11" s="327">
        <v>0</v>
      </c>
      <c r="X11" s="328"/>
      <c r="Y11" s="327">
        <v>0</v>
      </c>
      <c r="Z11" s="328"/>
      <c r="AA11" s="327">
        <v>0</v>
      </c>
      <c r="AB11" s="328"/>
      <c r="AC11" s="327">
        <v>0</v>
      </c>
      <c r="AD11" s="328"/>
      <c r="AE11" s="327">
        <v>0</v>
      </c>
      <c r="AF11" s="328"/>
      <c r="AG11" s="331">
        <f t="shared" si="2"/>
        <v>0</v>
      </c>
      <c r="AH11" s="328"/>
      <c r="AI11" s="327">
        <v>0</v>
      </c>
      <c r="AJ11" s="328"/>
      <c r="AK11" s="327">
        <v>0</v>
      </c>
      <c r="AL11" s="328"/>
      <c r="AM11" s="327">
        <v>0</v>
      </c>
      <c r="AN11" s="328"/>
      <c r="AO11" s="327">
        <v>0</v>
      </c>
      <c r="AP11" s="328"/>
      <c r="AQ11" s="327">
        <f t="shared" si="3"/>
        <v>0</v>
      </c>
      <c r="AR11" s="328"/>
      <c r="AS11" s="327">
        <v>0</v>
      </c>
      <c r="AT11" s="328"/>
      <c r="AU11" s="327">
        <v>0</v>
      </c>
      <c r="AV11" s="328"/>
      <c r="AW11" s="327">
        <v>0</v>
      </c>
      <c r="AX11" s="328"/>
      <c r="AY11" s="327">
        <v>0</v>
      </c>
      <c r="AZ11" s="328"/>
      <c r="BA11" s="327">
        <v>0</v>
      </c>
      <c r="BB11" s="328"/>
      <c r="BC11" s="327">
        <v>0</v>
      </c>
      <c r="BD11" s="328"/>
      <c r="BE11" s="327">
        <v>0</v>
      </c>
      <c r="BF11" s="328"/>
      <c r="BG11" s="327">
        <v>0</v>
      </c>
      <c r="BH11" s="328"/>
      <c r="BI11" s="327">
        <v>0</v>
      </c>
      <c r="BJ11" s="328"/>
      <c r="BK11" s="327">
        <v>0</v>
      </c>
      <c r="BL11" s="328"/>
      <c r="BM11" s="327">
        <f t="shared" si="4"/>
        <v>0</v>
      </c>
      <c r="BN11" s="328"/>
      <c r="BO11" s="327">
        <f t="shared" si="5"/>
        <v>0</v>
      </c>
      <c r="BP11" s="328"/>
      <c r="BQ11" s="331">
        <v>656437.94999999995</v>
      </c>
      <c r="BR11" s="328"/>
      <c r="BS11" s="327">
        <v>14824.25</v>
      </c>
      <c r="BT11" s="328"/>
      <c r="BU11" s="331">
        <v>76016.41</v>
      </c>
      <c r="BV11" s="328"/>
      <c r="BW11" s="327">
        <v>309217.69</v>
      </c>
      <c r="BX11" s="328"/>
      <c r="BY11" s="327">
        <v>60591.6</v>
      </c>
      <c r="BZ11" s="328"/>
      <c r="CA11" s="331">
        <v>939038.84</v>
      </c>
      <c r="CB11" s="328"/>
      <c r="CC11" s="331">
        <v>72000</v>
      </c>
      <c r="CD11" s="328"/>
      <c r="CE11" s="327">
        <v>8130.95</v>
      </c>
      <c r="CF11" s="328"/>
      <c r="CG11" s="327">
        <v>1509.31</v>
      </c>
      <c r="CH11" s="328"/>
      <c r="CI11" s="327">
        <v>25538.5</v>
      </c>
      <c r="CJ11" s="328"/>
      <c r="CK11" s="327">
        <v>252438.47</v>
      </c>
      <c r="CL11" s="328"/>
      <c r="CM11" s="332">
        <f t="shared" si="6"/>
        <v>287617.23</v>
      </c>
      <c r="CN11" s="328"/>
      <c r="CO11" s="331">
        <v>50207.56</v>
      </c>
      <c r="CP11" s="328"/>
      <c r="CQ11" s="327">
        <v>15781.43</v>
      </c>
      <c r="CR11" s="328"/>
      <c r="CS11" s="327">
        <f t="shared" si="7"/>
        <v>2481732.96</v>
      </c>
      <c r="CT11" s="328"/>
      <c r="CU11" s="327">
        <f t="shared" si="8"/>
        <v>2481732.96</v>
      </c>
      <c r="CV11" s="328"/>
      <c r="CW11" s="329">
        <v>0</v>
      </c>
      <c r="CX11" s="328"/>
      <c r="CY11" s="327">
        <f t="shared" si="9"/>
        <v>2522775.14</v>
      </c>
    </row>
    <row r="12" spans="1:107" ht="15" thickBot="1" x14ac:dyDescent="0.35">
      <c r="A12" s="326"/>
      <c r="B12" s="326"/>
      <c r="C12" s="326"/>
      <c r="D12" s="326" t="s">
        <v>617</v>
      </c>
      <c r="E12" s="326"/>
      <c r="F12" s="326"/>
      <c r="G12" s="326"/>
      <c r="H12" s="326"/>
      <c r="I12" s="334">
        <f>ROUND(SUM(I4:I11),5)</f>
        <v>31653.96</v>
      </c>
      <c r="J12" s="328"/>
      <c r="K12" s="334">
        <f>ROUND(SUM(K4:K11),5)</f>
        <v>189656.19</v>
      </c>
      <c r="L12" s="328"/>
      <c r="M12" s="335">
        <f t="shared" si="0"/>
        <v>221310.15</v>
      </c>
      <c r="N12" s="328"/>
      <c r="O12" s="334">
        <f>ROUND(SUM(O4:O11),5)</f>
        <v>520130.01</v>
      </c>
      <c r="P12" s="328"/>
      <c r="Q12" s="334">
        <f>ROUND(SUM(Q4:Q11),5)</f>
        <v>9388.2199999999993</v>
      </c>
      <c r="R12" s="328"/>
      <c r="S12" s="334">
        <f>ROUND(SUM(S4:S11),5)</f>
        <v>641189.69999999995</v>
      </c>
      <c r="T12" s="328"/>
      <c r="U12" s="336">
        <f t="shared" si="1"/>
        <v>1170707.93</v>
      </c>
      <c r="V12" s="328"/>
      <c r="W12" s="334">
        <f>ROUND(SUM(W4:W11),5)</f>
        <v>185471.06</v>
      </c>
      <c r="X12" s="328"/>
      <c r="Y12" s="334">
        <f>ROUND(SUM(Y4:Y11),5)</f>
        <v>133162.81</v>
      </c>
      <c r="Z12" s="328"/>
      <c r="AA12" s="334">
        <f>ROUND(SUM(AA4:AA11),5)</f>
        <v>4727288.33</v>
      </c>
      <c r="AB12" s="328"/>
      <c r="AC12" s="334">
        <f>ROUND(SUM(AC4:AC11),5)</f>
        <v>14867</v>
      </c>
      <c r="AD12" s="328"/>
      <c r="AE12" s="334">
        <f>ROUND(SUM(AE4:AE11),5)</f>
        <v>7358.96</v>
      </c>
      <c r="AF12" s="328"/>
      <c r="AG12" s="337">
        <f t="shared" si="2"/>
        <v>4749514.29</v>
      </c>
      <c r="AH12" s="328"/>
      <c r="AI12" s="334">
        <f>ROUND(SUM(AI4:AI11),5)</f>
        <v>266334.40000000002</v>
      </c>
      <c r="AJ12" s="328"/>
      <c r="AK12" s="334">
        <f>ROUND(SUM(AK4:AK11),5)</f>
        <v>244176.82</v>
      </c>
      <c r="AL12" s="328"/>
      <c r="AM12" s="334">
        <f>ROUND(SUM(AM4:AM11),5)</f>
        <v>335392.94</v>
      </c>
      <c r="AN12" s="328"/>
      <c r="AO12" s="334">
        <f>ROUND(SUM(AO4:AO11),5)</f>
        <v>809780.49</v>
      </c>
      <c r="AP12" s="328"/>
      <c r="AQ12" s="334">
        <f t="shared" si="3"/>
        <v>1655684.65</v>
      </c>
      <c r="AR12" s="328"/>
      <c r="AS12" s="334">
        <f>ROUND(SUM(AS4:AS11),5)</f>
        <v>93881.38</v>
      </c>
      <c r="AT12" s="328"/>
      <c r="AU12" s="334">
        <f>ROUND(SUM(AU4:AU11),5)</f>
        <v>122111.69</v>
      </c>
      <c r="AV12" s="328"/>
      <c r="AW12" s="334">
        <f>ROUND(SUM(AW4:AW11),5)</f>
        <v>105105.92</v>
      </c>
      <c r="AX12" s="328"/>
      <c r="AY12" s="334">
        <f>ROUND(SUM(AY4:AY11),5)</f>
        <v>84203.49</v>
      </c>
      <c r="AZ12" s="328"/>
      <c r="BA12" s="334">
        <f>ROUND(SUM(BA4:BA11),5)</f>
        <v>360224.52</v>
      </c>
      <c r="BB12" s="328"/>
      <c r="BC12" s="334">
        <f>ROUND(SUM(BC4:BC11),5)</f>
        <v>96751.88</v>
      </c>
      <c r="BD12" s="328"/>
      <c r="BE12" s="334">
        <f>ROUND(SUM(BE4:BE11),5)</f>
        <v>587087.54</v>
      </c>
      <c r="BF12" s="328"/>
      <c r="BG12" s="334">
        <f>ROUND(SUM(BG4:BG11),5)</f>
        <v>6943.39</v>
      </c>
      <c r="BH12" s="328"/>
      <c r="BI12" s="334">
        <f>ROUND(SUM(BI4:BI11),5)</f>
        <v>214063.67</v>
      </c>
      <c r="BJ12" s="328"/>
      <c r="BK12" s="334">
        <f>ROUND(SUM(BK4:BK11),5)</f>
        <v>441.31</v>
      </c>
      <c r="BL12" s="328"/>
      <c r="BM12" s="334">
        <f t="shared" si="4"/>
        <v>1576933.41</v>
      </c>
      <c r="BN12" s="328"/>
      <c r="BO12" s="334">
        <f t="shared" si="5"/>
        <v>8394647.5999999996</v>
      </c>
      <c r="BP12" s="328"/>
      <c r="BQ12" s="337">
        <f>ROUND(SUM(BQ4:BQ11),5)</f>
        <v>769356.2</v>
      </c>
      <c r="BR12" s="328"/>
      <c r="BS12" s="334">
        <f>ROUND(SUM(BS4:BS11),5)</f>
        <v>14824.25</v>
      </c>
      <c r="BT12" s="328"/>
      <c r="BU12" s="337">
        <f>ROUND(SUM(BU4:BU11),5)</f>
        <v>76016.41</v>
      </c>
      <c r="BV12" s="328"/>
      <c r="BW12" s="334">
        <f>ROUND(SUM(BW4:BW11),5)</f>
        <v>316040.96000000002</v>
      </c>
      <c r="BX12" s="328"/>
      <c r="BY12" s="334">
        <f>ROUND(SUM(BY4:BY11),5)</f>
        <v>60591.6</v>
      </c>
      <c r="BZ12" s="328"/>
      <c r="CA12" s="337">
        <f>ROUND(SUM(CA4:CA11),5)</f>
        <v>943247.97</v>
      </c>
      <c r="CB12" s="328"/>
      <c r="CC12" s="337">
        <f>ROUND(SUM(CC4:CC11),5)</f>
        <v>72000</v>
      </c>
      <c r="CD12" s="328"/>
      <c r="CE12" s="334">
        <f>ROUND(SUM(CE4:CE11),5)</f>
        <v>11593.95</v>
      </c>
      <c r="CF12" s="328"/>
      <c r="CG12" s="334">
        <f>ROUND(SUM(CG4:CG11),5)</f>
        <v>26907.68</v>
      </c>
      <c r="CH12" s="328"/>
      <c r="CI12" s="334">
        <f>ROUND(SUM(CI4:CI11),5)</f>
        <v>25538.5</v>
      </c>
      <c r="CJ12" s="328"/>
      <c r="CK12" s="334">
        <f>ROUND(SUM(CK4:CK11),5)</f>
        <v>252438.47</v>
      </c>
      <c r="CL12" s="328"/>
      <c r="CM12" s="338">
        <f t="shared" si="6"/>
        <v>316478.59999999998</v>
      </c>
      <c r="CN12" s="328"/>
      <c r="CO12" s="337">
        <f>ROUND(SUM(CO4:CO11),5)</f>
        <v>50415.12</v>
      </c>
      <c r="CP12" s="328"/>
      <c r="CQ12" s="334">
        <f>ROUND(SUM(CQ4:CQ11),5)</f>
        <v>15781.43</v>
      </c>
      <c r="CR12" s="328"/>
      <c r="CS12" s="334">
        <f t="shared" si="7"/>
        <v>2634752.54</v>
      </c>
      <c r="CT12" s="328"/>
      <c r="CU12" s="334">
        <f t="shared" si="8"/>
        <v>11029400.140000001</v>
      </c>
      <c r="CV12" s="328"/>
      <c r="CW12" s="335">
        <f>ROUND(SUM(CW4:CW11),5)</f>
        <v>0</v>
      </c>
      <c r="CX12" s="328"/>
      <c r="CY12" s="334">
        <f t="shared" si="9"/>
        <v>12421418.220000001</v>
      </c>
    </row>
    <row r="13" spans="1:107" x14ac:dyDescent="0.3">
      <c r="A13" s="326"/>
      <c r="B13" s="326"/>
      <c r="C13" s="326" t="s">
        <v>618</v>
      </c>
      <c r="D13" s="326"/>
      <c r="E13" s="326"/>
      <c r="F13" s="326"/>
      <c r="G13" s="326"/>
      <c r="H13" s="326"/>
      <c r="I13" s="327">
        <f>I12</f>
        <v>31653.96</v>
      </c>
      <c r="J13" s="328"/>
      <c r="K13" s="327">
        <f>K12</f>
        <v>189656.19</v>
      </c>
      <c r="L13" s="328"/>
      <c r="M13" s="329">
        <f t="shared" si="0"/>
        <v>221310.15</v>
      </c>
      <c r="N13" s="328"/>
      <c r="O13" s="327">
        <f>O12</f>
        <v>520130.01</v>
      </c>
      <c r="P13" s="328"/>
      <c r="Q13" s="327">
        <f>Q12</f>
        <v>9388.2199999999993</v>
      </c>
      <c r="R13" s="328"/>
      <c r="S13" s="327">
        <f>S12</f>
        <v>641189.69999999995</v>
      </c>
      <c r="T13" s="328"/>
      <c r="U13" s="330">
        <f t="shared" si="1"/>
        <v>1170707.93</v>
      </c>
      <c r="V13" s="328"/>
      <c r="W13" s="327">
        <f>W12</f>
        <v>185471.06</v>
      </c>
      <c r="X13" s="328"/>
      <c r="Y13" s="327">
        <f>Y12</f>
        <v>133162.81</v>
      </c>
      <c r="Z13" s="328"/>
      <c r="AA13" s="327">
        <f>AA12</f>
        <v>4727288.33</v>
      </c>
      <c r="AB13" s="328"/>
      <c r="AC13" s="327">
        <f>AC12</f>
        <v>14867</v>
      </c>
      <c r="AD13" s="328"/>
      <c r="AE13" s="327">
        <f>AE12</f>
        <v>7358.96</v>
      </c>
      <c r="AF13" s="328"/>
      <c r="AG13" s="331">
        <f t="shared" si="2"/>
        <v>4749514.29</v>
      </c>
      <c r="AH13" s="328"/>
      <c r="AI13" s="327">
        <f>AI12</f>
        <v>266334.40000000002</v>
      </c>
      <c r="AJ13" s="328"/>
      <c r="AK13" s="327">
        <f>AK12</f>
        <v>244176.82</v>
      </c>
      <c r="AL13" s="328"/>
      <c r="AM13" s="327">
        <f>AM12</f>
        <v>335392.94</v>
      </c>
      <c r="AN13" s="328"/>
      <c r="AO13" s="327">
        <f>AO12</f>
        <v>809780.49</v>
      </c>
      <c r="AP13" s="328"/>
      <c r="AQ13" s="327">
        <f t="shared" si="3"/>
        <v>1655684.65</v>
      </c>
      <c r="AR13" s="328"/>
      <c r="AS13" s="327">
        <f>AS12</f>
        <v>93881.38</v>
      </c>
      <c r="AT13" s="328"/>
      <c r="AU13" s="327">
        <f>AU12</f>
        <v>122111.69</v>
      </c>
      <c r="AV13" s="328"/>
      <c r="AW13" s="327">
        <f>AW12</f>
        <v>105105.92</v>
      </c>
      <c r="AX13" s="328"/>
      <c r="AY13" s="327">
        <f>AY12</f>
        <v>84203.49</v>
      </c>
      <c r="AZ13" s="328"/>
      <c r="BA13" s="327">
        <f>BA12</f>
        <v>360224.52</v>
      </c>
      <c r="BB13" s="328"/>
      <c r="BC13" s="327">
        <f>BC12</f>
        <v>96751.88</v>
      </c>
      <c r="BD13" s="328"/>
      <c r="BE13" s="327">
        <f>BE12</f>
        <v>587087.54</v>
      </c>
      <c r="BF13" s="328"/>
      <c r="BG13" s="327">
        <f>BG12</f>
        <v>6943.39</v>
      </c>
      <c r="BH13" s="328"/>
      <c r="BI13" s="327">
        <f>BI12</f>
        <v>214063.67</v>
      </c>
      <c r="BJ13" s="328"/>
      <c r="BK13" s="327">
        <f>BK12</f>
        <v>441.31</v>
      </c>
      <c r="BL13" s="328"/>
      <c r="BM13" s="327">
        <f t="shared" si="4"/>
        <v>1576933.41</v>
      </c>
      <c r="BN13" s="328"/>
      <c r="BO13" s="327">
        <f t="shared" si="5"/>
        <v>8394647.5999999996</v>
      </c>
      <c r="BP13" s="328"/>
      <c r="BQ13" s="331">
        <f>BQ12</f>
        <v>769356.2</v>
      </c>
      <c r="BR13" s="328"/>
      <c r="BS13" s="327">
        <f>BS12</f>
        <v>14824.25</v>
      </c>
      <c r="BT13" s="328"/>
      <c r="BU13" s="331">
        <f>BU12</f>
        <v>76016.41</v>
      </c>
      <c r="BV13" s="328"/>
      <c r="BW13" s="327">
        <f>BW12</f>
        <v>316040.96000000002</v>
      </c>
      <c r="BX13" s="328"/>
      <c r="BY13" s="327">
        <f>BY12</f>
        <v>60591.6</v>
      </c>
      <c r="BZ13" s="328"/>
      <c r="CA13" s="331">
        <f>CA12</f>
        <v>943247.97</v>
      </c>
      <c r="CB13" s="328"/>
      <c r="CC13" s="331">
        <f>CC12</f>
        <v>72000</v>
      </c>
      <c r="CD13" s="328"/>
      <c r="CE13" s="327">
        <f>CE12</f>
        <v>11593.95</v>
      </c>
      <c r="CF13" s="328"/>
      <c r="CG13" s="327">
        <f>CG12</f>
        <v>26907.68</v>
      </c>
      <c r="CH13" s="328"/>
      <c r="CI13" s="327">
        <f>CI12</f>
        <v>25538.5</v>
      </c>
      <c r="CJ13" s="328"/>
      <c r="CK13" s="327">
        <f>CK12</f>
        <v>252438.47</v>
      </c>
      <c r="CL13" s="328"/>
      <c r="CM13" s="332">
        <f t="shared" si="6"/>
        <v>316478.59999999998</v>
      </c>
      <c r="CN13" s="328"/>
      <c r="CO13" s="331">
        <f>CO12</f>
        <v>50415.12</v>
      </c>
      <c r="CP13" s="328"/>
      <c r="CQ13" s="327">
        <f>CQ12</f>
        <v>15781.43</v>
      </c>
      <c r="CR13" s="328"/>
      <c r="CS13" s="327">
        <f t="shared" si="7"/>
        <v>2634752.54</v>
      </c>
      <c r="CT13" s="328"/>
      <c r="CU13" s="327">
        <f t="shared" si="8"/>
        <v>11029400.140000001</v>
      </c>
      <c r="CV13" s="328"/>
      <c r="CW13" s="329">
        <f>CW12</f>
        <v>0</v>
      </c>
      <c r="CX13" s="328"/>
      <c r="CY13" s="327">
        <f t="shared" si="9"/>
        <v>12421418.220000001</v>
      </c>
    </row>
    <row r="14" spans="1:107" x14ac:dyDescent="0.3">
      <c r="A14" s="326"/>
      <c r="B14" s="326"/>
      <c r="C14" s="326"/>
      <c r="D14" s="326" t="s">
        <v>619</v>
      </c>
      <c r="E14" s="326"/>
      <c r="F14" s="326"/>
      <c r="G14" s="326"/>
      <c r="H14" s="326"/>
      <c r="I14" s="327"/>
      <c r="J14" s="328"/>
      <c r="K14" s="327"/>
      <c r="L14" s="328"/>
      <c r="M14" s="329"/>
      <c r="N14" s="328"/>
      <c r="O14" s="327"/>
      <c r="P14" s="328"/>
      <c r="Q14" s="327"/>
      <c r="R14" s="328"/>
      <c r="S14" s="327"/>
      <c r="T14" s="328"/>
      <c r="U14" s="330"/>
      <c r="V14" s="328"/>
      <c r="W14" s="327"/>
      <c r="X14" s="328"/>
      <c r="Y14" s="327"/>
      <c r="Z14" s="328"/>
      <c r="AA14" s="327"/>
      <c r="AB14" s="328"/>
      <c r="AC14" s="327"/>
      <c r="AD14" s="328"/>
      <c r="AE14" s="327"/>
      <c r="AF14" s="328"/>
      <c r="AG14" s="331"/>
      <c r="AH14" s="328"/>
      <c r="AI14" s="327"/>
      <c r="AJ14" s="328"/>
      <c r="AK14" s="327"/>
      <c r="AL14" s="328"/>
      <c r="AM14" s="327"/>
      <c r="AN14" s="328"/>
      <c r="AO14" s="327"/>
      <c r="AP14" s="328"/>
      <c r="AQ14" s="327"/>
      <c r="AR14" s="328"/>
      <c r="AS14" s="327"/>
      <c r="AT14" s="328"/>
      <c r="AU14" s="327"/>
      <c r="AV14" s="328"/>
      <c r="AW14" s="327"/>
      <c r="AX14" s="328"/>
      <c r="AY14" s="327"/>
      <c r="AZ14" s="328"/>
      <c r="BA14" s="327"/>
      <c r="BB14" s="328"/>
      <c r="BC14" s="327"/>
      <c r="BD14" s="328"/>
      <c r="BE14" s="327"/>
      <c r="BF14" s="328"/>
      <c r="BG14" s="327"/>
      <c r="BH14" s="328"/>
      <c r="BI14" s="327"/>
      <c r="BJ14" s="328"/>
      <c r="BK14" s="327"/>
      <c r="BL14" s="328"/>
      <c r="BM14" s="327"/>
      <c r="BN14" s="328"/>
      <c r="BO14" s="327"/>
      <c r="BP14" s="328"/>
      <c r="BQ14" s="331"/>
      <c r="BR14" s="328"/>
      <c r="BS14" s="327"/>
      <c r="BT14" s="328"/>
      <c r="BU14" s="331"/>
      <c r="BV14" s="328"/>
      <c r="BW14" s="327"/>
      <c r="BX14" s="328"/>
      <c r="BY14" s="327"/>
      <c r="BZ14" s="328"/>
      <c r="CA14" s="331"/>
      <c r="CB14" s="328"/>
      <c r="CC14" s="331"/>
      <c r="CD14" s="328"/>
      <c r="CE14" s="327"/>
      <c r="CF14" s="328"/>
      <c r="CG14" s="327"/>
      <c r="CH14" s="328"/>
      <c r="CI14" s="327"/>
      <c r="CJ14" s="328"/>
      <c r="CK14" s="327"/>
      <c r="CL14" s="328"/>
      <c r="CM14" s="332"/>
      <c r="CN14" s="328"/>
      <c r="CO14" s="331"/>
      <c r="CP14" s="328"/>
      <c r="CQ14" s="327"/>
      <c r="CR14" s="328"/>
      <c r="CS14" s="327"/>
      <c r="CT14" s="328"/>
      <c r="CU14" s="327"/>
      <c r="CV14" s="328"/>
      <c r="CW14" s="329"/>
      <c r="CX14" s="328"/>
      <c r="CY14" s="327"/>
    </row>
    <row r="15" spans="1:107" x14ac:dyDescent="0.3">
      <c r="A15" s="326"/>
      <c r="B15" s="326"/>
      <c r="C15" s="326"/>
      <c r="D15" s="326"/>
      <c r="E15" s="326" t="s">
        <v>620</v>
      </c>
      <c r="F15" s="326"/>
      <c r="G15" s="326"/>
      <c r="H15" s="326"/>
      <c r="I15" s="327"/>
      <c r="J15" s="328"/>
      <c r="K15" s="327"/>
      <c r="L15" s="328"/>
      <c r="M15" s="329"/>
      <c r="N15" s="328"/>
      <c r="O15" s="327"/>
      <c r="P15" s="328"/>
      <c r="Q15" s="327"/>
      <c r="R15" s="328"/>
      <c r="S15" s="327"/>
      <c r="T15" s="328"/>
      <c r="U15" s="330"/>
      <c r="V15" s="328"/>
      <c r="W15" s="327"/>
      <c r="X15" s="328"/>
      <c r="Y15" s="327"/>
      <c r="Z15" s="328"/>
      <c r="AA15" s="327"/>
      <c r="AB15" s="328"/>
      <c r="AC15" s="327"/>
      <c r="AD15" s="328"/>
      <c r="AE15" s="327"/>
      <c r="AF15" s="328"/>
      <c r="AG15" s="331"/>
      <c r="AH15" s="328"/>
      <c r="AI15" s="327"/>
      <c r="AJ15" s="328"/>
      <c r="AK15" s="327"/>
      <c r="AL15" s="328"/>
      <c r="AM15" s="327"/>
      <c r="AN15" s="328"/>
      <c r="AO15" s="327"/>
      <c r="AP15" s="328"/>
      <c r="AQ15" s="327"/>
      <c r="AR15" s="328"/>
      <c r="AS15" s="327"/>
      <c r="AT15" s="328"/>
      <c r="AU15" s="327"/>
      <c r="AV15" s="328"/>
      <c r="AW15" s="327"/>
      <c r="AX15" s="328"/>
      <c r="AY15" s="327"/>
      <c r="AZ15" s="328"/>
      <c r="BA15" s="327"/>
      <c r="BB15" s="328"/>
      <c r="BC15" s="327"/>
      <c r="BD15" s="328"/>
      <c r="BE15" s="327"/>
      <c r="BF15" s="328"/>
      <c r="BG15" s="327"/>
      <c r="BH15" s="328"/>
      <c r="BI15" s="327"/>
      <c r="BJ15" s="328"/>
      <c r="BK15" s="327"/>
      <c r="BL15" s="328"/>
      <c r="BM15" s="327"/>
      <c r="BN15" s="328"/>
      <c r="BO15" s="327"/>
      <c r="BP15" s="328"/>
      <c r="BQ15" s="331"/>
      <c r="BR15" s="328"/>
      <c r="BS15" s="327"/>
      <c r="BT15" s="328"/>
      <c r="BU15" s="331"/>
      <c r="BV15" s="328"/>
      <c r="BW15" s="327"/>
      <c r="BX15" s="328"/>
      <c r="BY15" s="327"/>
      <c r="BZ15" s="328"/>
      <c r="CA15" s="331"/>
      <c r="CB15" s="328"/>
      <c r="CC15" s="331"/>
      <c r="CD15" s="328"/>
      <c r="CE15" s="327"/>
      <c r="CF15" s="328"/>
      <c r="CG15" s="327"/>
      <c r="CH15" s="328"/>
      <c r="CI15" s="327"/>
      <c r="CJ15" s="328"/>
      <c r="CK15" s="327"/>
      <c r="CL15" s="328"/>
      <c r="CM15" s="332"/>
      <c r="CN15" s="328"/>
      <c r="CO15" s="331"/>
      <c r="CP15" s="328"/>
      <c r="CQ15" s="327"/>
      <c r="CR15" s="328"/>
      <c r="CS15" s="327"/>
      <c r="CT15" s="328"/>
      <c r="CU15" s="327"/>
      <c r="CV15" s="328"/>
      <c r="CW15" s="329"/>
      <c r="CX15" s="328"/>
      <c r="CY15" s="327"/>
    </row>
    <row r="16" spans="1:107" ht="15" thickBot="1" x14ac:dyDescent="0.35">
      <c r="A16" s="326"/>
      <c r="B16" s="326"/>
      <c r="C16" s="326"/>
      <c r="D16" s="326"/>
      <c r="E16" s="326"/>
      <c r="F16" s="326" t="s">
        <v>621</v>
      </c>
      <c r="G16" s="326"/>
      <c r="H16" s="326"/>
      <c r="I16" s="339">
        <v>0</v>
      </c>
      <c r="J16" s="328"/>
      <c r="K16" s="339">
        <v>0</v>
      </c>
      <c r="L16" s="328"/>
      <c r="M16" s="340">
        <f>ROUND(SUM(I16:K16),5)</f>
        <v>0</v>
      </c>
      <c r="N16" s="328"/>
      <c r="O16" s="339">
        <v>0</v>
      </c>
      <c r="P16" s="328"/>
      <c r="Q16" s="339">
        <v>0</v>
      </c>
      <c r="R16" s="328"/>
      <c r="S16" s="339">
        <v>21247.77</v>
      </c>
      <c r="T16" s="328"/>
      <c r="U16" s="341">
        <f>ROUND(SUM(O16:S16),5)</f>
        <v>21247.77</v>
      </c>
      <c r="V16" s="328"/>
      <c r="W16" s="339">
        <v>0</v>
      </c>
      <c r="X16" s="328"/>
      <c r="Y16" s="339">
        <v>0</v>
      </c>
      <c r="Z16" s="328"/>
      <c r="AA16" s="339">
        <v>0</v>
      </c>
      <c r="AB16" s="328"/>
      <c r="AC16" s="339">
        <v>0</v>
      </c>
      <c r="AD16" s="328"/>
      <c r="AE16" s="339">
        <v>0</v>
      </c>
      <c r="AF16" s="328"/>
      <c r="AG16" s="342">
        <f>ROUND(SUM(AA16:AE16),5)</f>
        <v>0</v>
      </c>
      <c r="AH16" s="328"/>
      <c r="AI16" s="339">
        <v>0</v>
      </c>
      <c r="AJ16" s="328"/>
      <c r="AK16" s="339">
        <v>0</v>
      </c>
      <c r="AL16" s="328"/>
      <c r="AM16" s="339">
        <v>0</v>
      </c>
      <c r="AN16" s="328"/>
      <c r="AO16" s="339">
        <v>0</v>
      </c>
      <c r="AP16" s="328"/>
      <c r="AQ16" s="339">
        <f>ROUND(SUM(AI16:AO16),5)</f>
        <v>0</v>
      </c>
      <c r="AR16" s="328"/>
      <c r="AS16" s="339">
        <v>0</v>
      </c>
      <c r="AT16" s="328"/>
      <c r="AU16" s="339">
        <v>0</v>
      </c>
      <c r="AV16" s="328"/>
      <c r="AW16" s="339">
        <v>0</v>
      </c>
      <c r="AX16" s="328"/>
      <c r="AY16" s="339">
        <v>0</v>
      </c>
      <c r="AZ16" s="328"/>
      <c r="BA16" s="339">
        <v>0</v>
      </c>
      <c r="BB16" s="328"/>
      <c r="BC16" s="339">
        <v>0</v>
      </c>
      <c r="BD16" s="328"/>
      <c r="BE16" s="339">
        <v>0</v>
      </c>
      <c r="BF16" s="328"/>
      <c r="BG16" s="339">
        <v>0</v>
      </c>
      <c r="BH16" s="328"/>
      <c r="BI16" s="339">
        <v>0</v>
      </c>
      <c r="BJ16" s="328"/>
      <c r="BK16" s="339">
        <v>0</v>
      </c>
      <c r="BL16" s="328"/>
      <c r="BM16" s="339">
        <f>ROUND(SUM(AU16:BK16),5)</f>
        <v>0</v>
      </c>
      <c r="BN16" s="328"/>
      <c r="BO16" s="339">
        <f>ROUND(SUM(W16:Y16)+AG16+SUM(AQ16:AS16)+BM16,5)</f>
        <v>0</v>
      </c>
      <c r="BP16" s="328"/>
      <c r="BQ16" s="342">
        <v>0</v>
      </c>
      <c r="BR16" s="328"/>
      <c r="BS16" s="339">
        <v>0</v>
      </c>
      <c r="BT16" s="328"/>
      <c r="BU16" s="342">
        <v>0</v>
      </c>
      <c r="BV16" s="328"/>
      <c r="BW16" s="339">
        <v>0</v>
      </c>
      <c r="BX16" s="328"/>
      <c r="BY16" s="339">
        <v>0</v>
      </c>
      <c r="BZ16" s="328"/>
      <c r="CA16" s="342">
        <v>0</v>
      </c>
      <c r="CB16" s="328"/>
      <c r="CC16" s="342">
        <v>0</v>
      </c>
      <c r="CD16" s="328"/>
      <c r="CE16" s="339">
        <v>0</v>
      </c>
      <c r="CF16" s="328"/>
      <c r="CG16" s="339">
        <v>0</v>
      </c>
      <c r="CH16" s="328"/>
      <c r="CI16" s="339">
        <v>0</v>
      </c>
      <c r="CJ16" s="328"/>
      <c r="CK16" s="339">
        <v>0</v>
      </c>
      <c r="CL16" s="328"/>
      <c r="CM16" s="343">
        <f>ROUND(SUM(CE16:CK16),5)</f>
        <v>0</v>
      </c>
      <c r="CN16" s="328"/>
      <c r="CO16" s="342">
        <v>0</v>
      </c>
      <c r="CP16" s="328"/>
      <c r="CQ16" s="339">
        <v>0</v>
      </c>
      <c r="CR16" s="328"/>
      <c r="CS16" s="339">
        <f>ROUND(SUM(BQ16:CC16)+SUM(CM16:CQ16),5)</f>
        <v>0</v>
      </c>
      <c r="CT16" s="328"/>
      <c r="CU16" s="339">
        <f>ROUND(BO16+CS16,5)</f>
        <v>0</v>
      </c>
      <c r="CV16" s="328"/>
      <c r="CW16" s="340">
        <v>0</v>
      </c>
      <c r="CX16" s="328"/>
      <c r="CY16" s="339">
        <f>ROUND(M16+U16+SUM(CU16:CW16),5)</f>
        <v>21247.77</v>
      </c>
      <c r="CZ16" s="333">
        <v>13</v>
      </c>
      <c r="DA16" s="344">
        <f>+CO16+CC16+CA16+BU16+BQ16+AG16</f>
        <v>0</v>
      </c>
      <c r="DB16" s="344"/>
      <c r="DC16" s="344">
        <f>+CQ16+BY16+BW16+BS16+BM16+AS16+AQ16+Y16+W16</f>
        <v>0</v>
      </c>
    </row>
    <row r="17" spans="1:111" x14ac:dyDescent="0.3">
      <c r="A17" s="326"/>
      <c r="B17" s="326"/>
      <c r="C17" s="326"/>
      <c r="D17" s="326"/>
      <c r="E17" s="326" t="s">
        <v>622</v>
      </c>
      <c r="F17" s="326"/>
      <c r="G17" s="326"/>
      <c r="H17" s="326"/>
      <c r="I17" s="327">
        <f>ROUND(SUM(I15:I16),5)</f>
        <v>0</v>
      </c>
      <c r="J17" s="328"/>
      <c r="K17" s="327">
        <f>ROUND(SUM(K15:K16),5)</f>
        <v>0</v>
      </c>
      <c r="L17" s="328"/>
      <c r="M17" s="329">
        <f>ROUND(SUM(I17:K17),5)</f>
        <v>0</v>
      </c>
      <c r="N17" s="328"/>
      <c r="O17" s="327">
        <f>ROUND(SUM(O15:O16),5)</f>
        <v>0</v>
      </c>
      <c r="P17" s="328"/>
      <c r="Q17" s="327">
        <f>ROUND(SUM(Q15:Q16),5)</f>
        <v>0</v>
      </c>
      <c r="R17" s="328"/>
      <c r="S17" s="327">
        <f>ROUND(SUM(S15:S16),5)</f>
        <v>21247.77</v>
      </c>
      <c r="T17" s="328"/>
      <c r="U17" s="330">
        <f>ROUND(SUM(O17:S17),5)</f>
        <v>21247.77</v>
      </c>
      <c r="V17" s="328"/>
      <c r="W17" s="327">
        <f>ROUND(SUM(W15:W16),5)</f>
        <v>0</v>
      </c>
      <c r="X17" s="328"/>
      <c r="Y17" s="327">
        <f>ROUND(SUM(Y15:Y16),5)</f>
        <v>0</v>
      </c>
      <c r="Z17" s="328"/>
      <c r="AA17" s="327">
        <f>ROUND(SUM(AA15:AA16),5)</f>
        <v>0</v>
      </c>
      <c r="AB17" s="328"/>
      <c r="AC17" s="327">
        <f>ROUND(SUM(AC15:AC16),5)</f>
        <v>0</v>
      </c>
      <c r="AD17" s="328"/>
      <c r="AE17" s="327">
        <f>ROUND(SUM(AE15:AE16),5)</f>
        <v>0</v>
      </c>
      <c r="AF17" s="328"/>
      <c r="AG17" s="331">
        <f>ROUND(SUM(AA17:AE17),5)</f>
        <v>0</v>
      </c>
      <c r="AH17" s="328"/>
      <c r="AI17" s="327">
        <f>ROUND(SUM(AI15:AI16),5)</f>
        <v>0</v>
      </c>
      <c r="AJ17" s="328"/>
      <c r="AK17" s="327">
        <f>ROUND(SUM(AK15:AK16),5)</f>
        <v>0</v>
      </c>
      <c r="AL17" s="328"/>
      <c r="AM17" s="327">
        <f>ROUND(SUM(AM15:AM16),5)</f>
        <v>0</v>
      </c>
      <c r="AN17" s="328"/>
      <c r="AO17" s="327">
        <f>ROUND(SUM(AO15:AO16),5)</f>
        <v>0</v>
      </c>
      <c r="AP17" s="328"/>
      <c r="AQ17" s="327">
        <f>ROUND(SUM(AI17:AO17),5)</f>
        <v>0</v>
      </c>
      <c r="AR17" s="328"/>
      <c r="AS17" s="327">
        <f>ROUND(SUM(AS15:AS16),5)</f>
        <v>0</v>
      </c>
      <c r="AT17" s="328"/>
      <c r="AU17" s="327">
        <f>ROUND(SUM(AU15:AU16),5)</f>
        <v>0</v>
      </c>
      <c r="AV17" s="328"/>
      <c r="AW17" s="327">
        <f>ROUND(SUM(AW15:AW16),5)</f>
        <v>0</v>
      </c>
      <c r="AX17" s="328"/>
      <c r="AY17" s="327">
        <f>ROUND(SUM(AY15:AY16),5)</f>
        <v>0</v>
      </c>
      <c r="AZ17" s="328"/>
      <c r="BA17" s="327">
        <f>ROUND(SUM(BA15:BA16),5)</f>
        <v>0</v>
      </c>
      <c r="BB17" s="328"/>
      <c r="BC17" s="327">
        <f>ROUND(SUM(BC15:BC16),5)</f>
        <v>0</v>
      </c>
      <c r="BD17" s="328"/>
      <c r="BE17" s="327">
        <f>ROUND(SUM(BE15:BE16),5)</f>
        <v>0</v>
      </c>
      <c r="BF17" s="328"/>
      <c r="BG17" s="327">
        <f>ROUND(SUM(BG15:BG16),5)</f>
        <v>0</v>
      </c>
      <c r="BH17" s="328"/>
      <c r="BI17" s="327">
        <f>ROUND(SUM(BI15:BI16),5)</f>
        <v>0</v>
      </c>
      <c r="BJ17" s="328"/>
      <c r="BK17" s="327">
        <f>ROUND(SUM(BK15:BK16),5)</f>
        <v>0</v>
      </c>
      <c r="BL17" s="328"/>
      <c r="BM17" s="327">
        <f>ROUND(SUM(AU17:BK17),5)</f>
        <v>0</v>
      </c>
      <c r="BN17" s="328"/>
      <c r="BO17" s="327">
        <f>ROUND(SUM(W17:Y17)+AG17+SUM(AQ17:AS17)+BM17,5)</f>
        <v>0</v>
      </c>
      <c r="BP17" s="328"/>
      <c r="BQ17" s="331">
        <f>ROUND(SUM(BQ15:BQ16),5)</f>
        <v>0</v>
      </c>
      <c r="BR17" s="328"/>
      <c r="BS17" s="327">
        <f>ROUND(SUM(BS15:BS16),5)</f>
        <v>0</v>
      </c>
      <c r="BT17" s="328"/>
      <c r="BU17" s="331">
        <f>ROUND(SUM(BU15:BU16),5)</f>
        <v>0</v>
      </c>
      <c r="BV17" s="328"/>
      <c r="BW17" s="327">
        <f>ROUND(SUM(BW15:BW16),5)</f>
        <v>0</v>
      </c>
      <c r="BX17" s="328"/>
      <c r="BY17" s="327">
        <f>ROUND(SUM(BY15:BY16),5)</f>
        <v>0</v>
      </c>
      <c r="BZ17" s="328"/>
      <c r="CA17" s="331">
        <f>ROUND(SUM(CA15:CA16),5)</f>
        <v>0</v>
      </c>
      <c r="CB17" s="328"/>
      <c r="CC17" s="331">
        <f>ROUND(SUM(CC15:CC16),5)</f>
        <v>0</v>
      </c>
      <c r="CD17" s="328"/>
      <c r="CE17" s="327">
        <f>ROUND(SUM(CE15:CE16),5)</f>
        <v>0</v>
      </c>
      <c r="CF17" s="328"/>
      <c r="CG17" s="327">
        <f>ROUND(SUM(CG15:CG16),5)</f>
        <v>0</v>
      </c>
      <c r="CH17" s="328"/>
      <c r="CI17" s="327">
        <f>ROUND(SUM(CI15:CI16),5)</f>
        <v>0</v>
      </c>
      <c r="CJ17" s="328"/>
      <c r="CK17" s="327">
        <f>ROUND(SUM(CK15:CK16),5)</f>
        <v>0</v>
      </c>
      <c r="CL17" s="328"/>
      <c r="CM17" s="332">
        <f>ROUND(SUM(CE17:CK17),5)</f>
        <v>0</v>
      </c>
      <c r="CN17" s="328"/>
      <c r="CO17" s="331">
        <f>ROUND(SUM(CO15:CO16),5)</f>
        <v>0</v>
      </c>
      <c r="CP17" s="328"/>
      <c r="CQ17" s="327">
        <f>ROUND(SUM(CQ15:CQ16),5)</f>
        <v>0</v>
      </c>
      <c r="CR17" s="328"/>
      <c r="CS17" s="327">
        <f>ROUND(SUM(BQ17:CC17)+SUM(CM17:CQ17),5)</f>
        <v>0</v>
      </c>
      <c r="CT17" s="328"/>
      <c r="CU17" s="327">
        <f>ROUND(BO17+CS17,5)</f>
        <v>0</v>
      </c>
      <c r="CV17" s="328"/>
      <c r="CW17" s="329">
        <f>ROUND(SUM(CW15:CW16),5)</f>
        <v>0</v>
      </c>
      <c r="CX17" s="328"/>
      <c r="CY17" s="327">
        <f>ROUND(M17+U17+SUM(CU17:CW17),5)</f>
        <v>21247.77</v>
      </c>
      <c r="DA17" s="344">
        <f t="shared" ref="DA17:DA69" si="10">+CO17+CC17+CA17+BU17+BQ17+AG17</f>
        <v>0</v>
      </c>
      <c r="DB17" s="344"/>
      <c r="DC17" s="344">
        <f t="shared" ref="DC17:DC69" si="11">+CQ17+BY17+BW17+BS17+BM17+AS17+AQ17+Y17+W17</f>
        <v>0</v>
      </c>
    </row>
    <row r="18" spans="1:111" x14ac:dyDescent="0.3">
      <c r="A18" s="326"/>
      <c r="B18" s="326"/>
      <c r="C18" s="326"/>
      <c r="D18" s="326"/>
      <c r="E18" s="326" t="s">
        <v>623</v>
      </c>
      <c r="F18" s="326"/>
      <c r="G18" s="326"/>
      <c r="H18" s="326"/>
      <c r="I18" s="327"/>
      <c r="J18" s="328"/>
      <c r="K18" s="327"/>
      <c r="L18" s="328"/>
      <c r="M18" s="329"/>
      <c r="N18" s="328"/>
      <c r="O18" s="327"/>
      <c r="P18" s="328"/>
      <c r="Q18" s="327"/>
      <c r="R18" s="328"/>
      <c r="S18" s="327"/>
      <c r="T18" s="328"/>
      <c r="U18" s="330"/>
      <c r="V18" s="328"/>
      <c r="W18" s="327"/>
      <c r="X18" s="328"/>
      <c r="Y18" s="327"/>
      <c r="Z18" s="328"/>
      <c r="AA18" s="327"/>
      <c r="AB18" s="328"/>
      <c r="AC18" s="327"/>
      <c r="AD18" s="328"/>
      <c r="AE18" s="327"/>
      <c r="AF18" s="328"/>
      <c r="AG18" s="331"/>
      <c r="AH18" s="328"/>
      <c r="AI18" s="327"/>
      <c r="AJ18" s="328"/>
      <c r="AK18" s="327"/>
      <c r="AL18" s="328"/>
      <c r="AM18" s="327"/>
      <c r="AN18" s="328"/>
      <c r="AO18" s="327"/>
      <c r="AP18" s="328"/>
      <c r="AQ18" s="327"/>
      <c r="AR18" s="328"/>
      <c r="AS18" s="327"/>
      <c r="AT18" s="328"/>
      <c r="AU18" s="327"/>
      <c r="AV18" s="328"/>
      <c r="AW18" s="327"/>
      <c r="AX18" s="328"/>
      <c r="AY18" s="327"/>
      <c r="AZ18" s="328"/>
      <c r="BA18" s="327"/>
      <c r="BB18" s="328"/>
      <c r="BC18" s="327"/>
      <c r="BD18" s="328"/>
      <c r="BE18" s="327"/>
      <c r="BF18" s="328"/>
      <c r="BG18" s="327"/>
      <c r="BH18" s="328"/>
      <c r="BI18" s="327"/>
      <c r="BJ18" s="328"/>
      <c r="BK18" s="327"/>
      <c r="BL18" s="328"/>
      <c r="BM18" s="327"/>
      <c r="BN18" s="328"/>
      <c r="BO18" s="327"/>
      <c r="BP18" s="328"/>
      <c r="BQ18" s="331"/>
      <c r="BR18" s="328"/>
      <c r="BS18" s="327"/>
      <c r="BT18" s="328"/>
      <c r="BU18" s="331"/>
      <c r="BV18" s="328"/>
      <c r="BW18" s="327"/>
      <c r="BX18" s="328"/>
      <c r="BY18" s="327"/>
      <c r="BZ18" s="328"/>
      <c r="CA18" s="331"/>
      <c r="CB18" s="328"/>
      <c r="CC18" s="331"/>
      <c r="CD18" s="328"/>
      <c r="CE18" s="327"/>
      <c r="CF18" s="328"/>
      <c r="CG18" s="327"/>
      <c r="CH18" s="328"/>
      <c r="CI18" s="327"/>
      <c r="CJ18" s="328"/>
      <c r="CK18" s="327"/>
      <c r="CL18" s="328"/>
      <c r="CM18" s="332"/>
      <c r="CN18" s="328"/>
      <c r="CO18" s="331"/>
      <c r="CP18" s="328"/>
      <c r="CQ18" s="327"/>
      <c r="CR18" s="328"/>
      <c r="CS18" s="327"/>
      <c r="CT18" s="328"/>
      <c r="CU18" s="327"/>
      <c r="CV18" s="328"/>
      <c r="CW18" s="329"/>
      <c r="CX18" s="328"/>
      <c r="CY18" s="327"/>
      <c r="DA18" s="344">
        <f t="shared" si="10"/>
        <v>0</v>
      </c>
      <c r="DB18" s="344"/>
      <c r="DC18" s="344">
        <f t="shared" si="11"/>
        <v>0</v>
      </c>
    </row>
    <row r="19" spans="1:111" x14ac:dyDescent="0.3">
      <c r="A19" s="326"/>
      <c r="B19" s="326"/>
      <c r="C19" s="326"/>
      <c r="D19" s="326"/>
      <c r="E19" s="326"/>
      <c r="F19" s="326" t="s">
        <v>624</v>
      </c>
      <c r="G19" s="326"/>
      <c r="H19" s="326"/>
      <c r="I19" s="327"/>
      <c r="J19" s="328"/>
      <c r="K19" s="327"/>
      <c r="L19" s="328"/>
      <c r="M19" s="329"/>
      <c r="N19" s="328"/>
      <c r="O19" s="327"/>
      <c r="P19" s="328"/>
      <c r="Q19" s="327"/>
      <c r="R19" s="328"/>
      <c r="S19" s="327"/>
      <c r="T19" s="328"/>
      <c r="U19" s="330"/>
      <c r="V19" s="328"/>
      <c r="W19" s="327"/>
      <c r="X19" s="328"/>
      <c r="Y19" s="327"/>
      <c r="Z19" s="328"/>
      <c r="AA19" s="327"/>
      <c r="AB19" s="328"/>
      <c r="AC19" s="327"/>
      <c r="AD19" s="328"/>
      <c r="AE19" s="327"/>
      <c r="AF19" s="328"/>
      <c r="AG19" s="331"/>
      <c r="AH19" s="328"/>
      <c r="AI19" s="327"/>
      <c r="AJ19" s="328"/>
      <c r="AK19" s="327"/>
      <c r="AL19" s="328"/>
      <c r="AM19" s="327"/>
      <c r="AN19" s="328"/>
      <c r="AO19" s="327"/>
      <c r="AP19" s="328"/>
      <c r="AQ19" s="327"/>
      <c r="AR19" s="328"/>
      <c r="AS19" s="327"/>
      <c r="AT19" s="328"/>
      <c r="AU19" s="327"/>
      <c r="AV19" s="328"/>
      <c r="AW19" s="327"/>
      <c r="AX19" s="328"/>
      <c r="AY19" s="327"/>
      <c r="AZ19" s="328"/>
      <c r="BA19" s="327"/>
      <c r="BB19" s="328"/>
      <c r="BC19" s="327"/>
      <c r="BD19" s="328"/>
      <c r="BE19" s="327"/>
      <c r="BF19" s="328"/>
      <c r="BG19" s="327"/>
      <c r="BH19" s="328"/>
      <c r="BI19" s="327"/>
      <c r="BJ19" s="328"/>
      <c r="BK19" s="327"/>
      <c r="BL19" s="328"/>
      <c r="BM19" s="327"/>
      <c r="BN19" s="328"/>
      <c r="BO19" s="327"/>
      <c r="BP19" s="328"/>
      <c r="BQ19" s="331"/>
      <c r="BR19" s="328"/>
      <c r="BS19" s="327"/>
      <c r="BT19" s="328"/>
      <c r="BU19" s="331"/>
      <c r="BV19" s="328"/>
      <c r="BW19" s="327"/>
      <c r="BX19" s="328"/>
      <c r="BY19" s="327"/>
      <c r="BZ19" s="328"/>
      <c r="CA19" s="331"/>
      <c r="CB19" s="328"/>
      <c r="CC19" s="331"/>
      <c r="CD19" s="328"/>
      <c r="CE19" s="327"/>
      <c r="CF19" s="328"/>
      <c r="CG19" s="327"/>
      <c r="CH19" s="328"/>
      <c r="CI19" s="327"/>
      <c r="CJ19" s="328"/>
      <c r="CK19" s="327"/>
      <c r="CL19" s="328"/>
      <c r="CM19" s="332"/>
      <c r="CN19" s="328"/>
      <c r="CO19" s="331"/>
      <c r="CP19" s="328"/>
      <c r="CQ19" s="327"/>
      <c r="CR19" s="328"/>
      <c r="CS19" s="327"/>
      <c r="CT19" s="328"/>
      <c r="CU19" s="327"/>
      <c r="CV19" s="328"/>
      <c r="CW19" s="329"/>
      <c r="CX19" s="328"/>
      <c r="CY19" s="327"/>
      <c r="DA19" s="344">
        <f t="shared" si="10"/>
        <v>0</v>
      </c>
      <c r="DB19" s="344"/>
      <c r="DC19" s="344">
        <f t="shared" si="11"/>
        <v>0</v>
      </c>
      <c r="DE19" s="378"/>
    </row>
    <row r="20" spans="1:111" x14ac:dyDescent="0.3">
      <c r="A20" s="326"/>
      <c r="B20" s="326"/>
      <c r="C20" s="326"/>
      <c r="D20" s="326"/>
      <c r="E20" s="326"/>
      <c r="F20" s="326"/>
      <c r="G20" s="326" t="s">
        <v>625</v>
      </c>
      <c r="H20" s="326"/>
      <c r="I20" s="327">
        <v>0</v>
      </c>
      <c r="J20" s="328"/>
      <c r="K20" s="327">
        <v>1074.3900000000001</v>
      </c>
      <c r="L20" s="328"/>
      <c r="M20" s="329">
        <f>ROUND(SUM(I20:K20),5)</f>
        <v>1074.3900000000001</v>
      </c>
      <c r="N20" s="328"/>
      <c r="O20" s="327">
        <v>0</v>
      </c>
      <c r="P20" s="328"/>
      <c r="Q20" s="327">
        <v>0</v>
      </c>
      <c r="R20" s="328"/>
      <c r="S20" s="327">
        <v>184.77</v>
      </c>
      <c r="T20" s="328"/>
      <c r="U20" s="330">
        <f>ROUND(SUM(O20:S20),5)</f>
        <v>184.77</v>
      </c>
      <c r="V20" s="328"/>
      <c r="W20" s="327">
        <v>0</v>
      </c>
      <c r="X20" s="328"/>
      <c r="Y20" s="327">
        <v>0</v>
      </c>
      <c r="Z20" s="328"/>
      <c r="AA20" s="327">
        <v>0</v>
      </c>
      <c r="AB20" s="328"/>
      <c r="AC20" s="327">
        <v>0</v>
      </c>
      <c r="AD20" s="328"/>
      <c r="AE20" s="327">
        <v>0</v>
      </c>
      <c r="AF20" s="328"/>
      <c r="AG20" s="331">
        <f>ROUND(SUM(AA20:AE20),5)</f>
        <v>0</v>
      </c>
      <c r="AH20" s="328"/>
      <c r="AI20" s="327">
        <v>0</v>
      </c>
      <c r="AJ20" s="328"/>
      <c r="AK20" s="327">
        <v>0</v>
      </c>
      <c r="AL20" s="328"/>
      <c r="AM20" s="327">
        <v>0</v>
      </c>
      <c r="AN20" s="328"/>
      <c r="AO20" s="327">
        <v>0</v>
      </c>
      <c r="AP20" s="328"/>
      <c r="AQ20" s="327">
        <f>ROUND(SUM(AI20:AO20),5)</f>
        <v>0</v>
      </c>
      <c r="AR20" s="328"/>
      <c r="AS20" s="327">
        <v>0</v>
      </c>
      <c r="AT20" s="328"/>
      <c r="AU20" s="327">
        <v>0</v>
      </c>
      <c r="AV20" s="328"/>
      <c r="AW20" s="327">
        <v>0</v>
      </c>
      <c r="AX20" s="328"/>
      <c r="AY20" s="327">
        <v>0</v>
      </c>
      <c r="AZ20" s="328"/>
      <c r="BA20" s="327">
        <v>0</v>
      </c>
      <c r="BB20" s="328"/>
      <c r="BC20" s="327">
        <v>0</v>
      </c>
      <c r="BD20" s="328"/>
      <c r="BE20" s="327">
        <v>0</v>
      </c>
      <c r="BF20" s="328"/>
      <c r="BG20" s="327">
        <v>0</v>
      </c>
      <c r="BH20" s="328"/>
      <c r="BI20" s="327">
        <v>0</v>
      </c>
      <c r="BJ20" s="328"/>
      <c r="BK20" s="327">
        <v>0</v>
      </c>
      <c r="BL20" s="328"/>
      <c r="BM20" s="327">
        <f>ROUND(SUM(AU20:BK20),5)</f>
        <v>0</v>
      </c>
      <c r="BN20" s="328"/>
      <c r="BO20" s="327">
        <f>ROUND(SUM(W20:Y20)+AG20+SUM(AQ20:AS20)+BM20,5)</f>
        <v>0</v>
      </c>
      <c r="BP20" s="328"/>
      <c r="BQ20" s="331">
        <v>1650</v>
      </c>
      <c r="BR20" s="328"/>
      <c r="BS20" s="327">
        <v>0</v>
      </c>
      <c r="BT20" s="328"/>
      <c r="BU20" s="331">
        <v>0</v>
      </c>
      <c r="BV20" s="328"/>
      <c r="BW20" s="327">
        <v>0</v>
      </c>
      <c r="BX20" s="328"/>
      <c r="BY20" s="327">
        <v>0</v>
      </c>
      <c r="BZ20" s="328"/>
      <c r="CA20" s="331">
        <v>0</v>
      </c>
      <c r="CB20" s="328"/>
      <c r="CC20" s="331">
        <v>0</v>
      </c>
      <c r="CD20" s="328"/>
      <c r="CE20" s="327">
        <v>0</v>
      </c>
      <c r="CF20" s="328"/>
      <c r="CG20" s="327">
        <v>0</v>
      </c>
      <c r="CH20" s="328"/>
      <c r="CI20" s="327">
        <v>0</v>
      </c>
      <c r="CJ20" s="328"/>
      <c r="CK20" s="327">
        <v>0</v>
      </c>
      <c r="CL20" s="328"/>
      <c r="CM20" s="332">
        <f>ROUND(SUM(CE20:CK20),5)</f>
        <v>0</v>
      </c>
      <c r="CN20" s="328"/>
      <c r="CO20" s="331">
        <v>0</v>
      </c>
      <c r="CP20" s="328"/>
      <c r="CQ20" s="327">
        <v>0</v>
      </c>
      <c r="CR20" s="328"/>
      <c r="CS20" s="327">
        <f>ROUND(SUM(BQ20:CC20)+SUM(CM20:CQ20),5)</f>
        <v>1650</v>
      </c>
      <c r="CT20" s="328"/>
      <c r="CU20" s="327">
        <f>ROUND(BO20+CS20,5)</f>
        <v>1650</v>
      </c>
      <c r="CV20" s="328"/>
      <c r="CW20" s="329">
        <v>0</v>
      </c>
      <c r="CX20" s="328"/>
      <c r="CY20" s="327">
        <f>ROUND(M20+U20+SUM(CU20:CW20),5)</f>
        <v>2909.16</v>
      </c>
      <c r="CZ20" s="333">
        <v>6</v>
      </c>
      <c r="DA20" s="344">
        <f t="shared" si="10"/>
        <v>1650</v>
      </c>
      <c r="DB20" s="344"/>
      <c r="DC20" s="344">
        <f t="shared" si="11"/>
        <v>0</v>
      </c>
    </row>
    <row r="21" spans="1:111" x14ac:dyDescent="0.3">
      <c r="A21" s="326"/>
      <c r="B21" s="326"/>
      <c r="C21" s="326"/>
      <c r="D21" s="326"/>
      <c r="E21" s="326"/>
      <c r="F21" s="326"/>
      <c r="G21" s="326" t="s">
        <v>626</v>
      </c>
      <c r="H21" s="326"/>
      <c r="I21" s="327">
        <v>0</v>
      </c>
      <c r="J21" s="328"/>
      <c r="K21" s="327">
        <v>4307.1899999999996</v>
      </c>
      <c r="L21" s="328"/>
      <c r="M21" s="329">
        <f>ROUND(SUM(I21:K21),5)</f>
        <v>4307.1899999999996</v>
      </c>
      <c r="N21" s="328"/>
      <c r="O21" s="327">
        <v>88.82</v>
      </c>
      <c r="P21" s="328"/>
      <c r="Q21" s="327">
        <v>0</v>
      </c>
      <c r="R21" s="328"/>
      <c r="S21" s="327">
        <v>3184.23</v>
      </c>
      <c r="T21" s="328"/>
      <c r="U21" s="330">
        <f>ROUND(SUM(O21:S21),5)</f>
        <v>3273.05</v>
      </c>
      <c r="V21" s="328"/>
      <c r="W21" s="327">
        <v>0</v>
      </c>
      <c r="X21" s="328"/>
      <c r="Y21" s="327">
        <v>0</v>
      </c>
      <c r="Z21" s="328"/>
      <c r="AA21" s="327">
        <v>0</v>
      </c>
      <c r="AB21" s="328"/>
      <c r="AC21" s="327">
        <v>0</v>
      </c>
      <c r="AD21" s="328"/>
      <c r="AE21" s="327">
        <v>0</v>
      </c>
      <c r="AF21" s="328"/>
      <c r="AG21" s="331">
        <f>ROUND(SUM(AA21:AE21),5)</f>
        <v>0</v>
      </c>
      <c r="AH21" s="328"/>
      <c r="AI21" s="327">
        <v>0</v>
      </c>
      <c r="AJ21" s="328"/>
      <c r="AK21" s="327">
        <v>0</v>
      </c>
      <c r="AL21" s="328"/>
      <c r="AM21" s="327">
        <v>0</v>
      </c>
      <c r="AN21" s="328"/>
      <c r="AO21" s="327">
        <v>0</v>
      </c>
      <c r="AP21" s="328"/>
      <c r="AQ21" s="327">
        <f>ROUND(SUM(AI21:AO21),5)</f>
        <v>0</v>
      </c>
      <c r="AR21" s="328"/>
      <c r="AS21" s="327">
        <v>0</v>
      </c>
      <c r="AT21" s="328"/>
      <c r="AU21" s="327">
        <v>0</v>
      </c>
      <c r="AV21" s="328"/>
      <c r="AW21" s="327">
        <v>0</v>
      </c>
      <c r="AX21" s="328"/>
      <c r="AY21" s="327">
        <v>0</v>
      </c>
      <c r="AZ21" s="328"/>
      <c r="BA21" s="327">
        <v>0</v>
      </c>
      <c r="BB21" s="328"/>
      <c r="BC21" s="327">
        <v>0</v>
      </c>
      <c r="BD21" s="328"/>
      <c r="BE21" s="327">
        <v>0</v>
      </c>
      <c r="BF21" s="328"/>
      <c r="BG21" s="327">
        <v>0</v>
      </c>
      <c r="BH21" s="328"/>
      <c r="BI21" s="327">
        <v>0</v>
      </c>
      <c r="BJ21" s="328"/>
      <c r="BK21" s="327">
        <v>0</v>
      </c>
      <c r="BL21" s="328"/>
      <c r="BM21" s="327">
        <f>ROUND(SUM(AU21:BK21),5)</f>
        <v>0</v>
      </c>
      <c r="BN21" s="328"/>
      <c r="BO21" s="327">
        <f>ROUND(SUM(W21:Y21)+AG21+SUM(AQ21:AS21)+BM21,5)</f>
        <v>0</v>
      </c>
      <c r="BP21" s="328"/>
      <c r="BQ21" s="331">
        <v>22.08</v>
      </c>
      <c r="BR21" s="328"/>
      <c r="BS21" s="327">
        <v>0</v>
      </c>
      <c r="BT21" s="328"/>
      <c r="BU21" s="331">
        <v>0</v>
      </c>
      <c r="BV21" s="328"/>
      <c r="BW21" s="327">
        <v>117.91</v>
      </c>
      <c r="BX21" s="328"/>
      <c r="BY21" s="327">
        <v>0</v>
      </c>
      <c r="BZ21" s="328"/>
      <c r="CA21" s="331">
        <v>121.6</v>
      </c>
      <c r="CB21" s="328"/>
      <c r="CC21" s="331">
        <v>0</v>
      </c>
      <c r="CD21" s="328"/>
      <c r="CE21" s="327">
        <v>0</v>
      </c>
      <c r="CF21" s="328"/>
      <c r="CG21" s="327">
        <v>15.18</v>
      </c>
      <c r="CH21" s="328"/>
      <c r="CI21" s="327">
        <v>0</v>
      </c>
      <c r="CJ21" s="328"/>
      <c r="CK21" s="327">
        <v>0</v>
      </c>
      <c r="CL21" s="328"/>
      <c r="CM21" s="332">
        <f>ROUND(SUM(CE21:CK21),5)</f>
        <v>15.18</v>
      </c>
      <c r="CN21" s="328"/>
      <c r="CO21" s="331">
        <v>6.09</v>
      </c>
      <c r="CP21" s="328"/>
      <c r="CQ21" s="327">
        <v>0</v>
      </c>
      <c r="CR21" s="328"/>
      <c r="CS21" s="327">
        <f>ROUND(SUM(BQ21:CC21)+SUM(CM21:CQ21),5)</f>
        <v>282.86</v>
      </c>
      <c r="CT21" s="328"/>
      <c r="CU21" s="327">
        <f>ROUND(BO21+CS21,5)</f>
        <v>282.86</v>
      </c>
      <c r="CV21" s="328"/>
      <c r="CW21" s="329">
        <v>0</v>
      </c>
      <c r="CX21" s="328"/>
      <c r="CY21" s="327">
        <f>ROUND(M21+U21+SUM(CU21:CW21),5)</f>
        <v>7863.1</v>
      </c>
      <c r="CZ21" s="333">
        <v>7</v>
      </c>
      <c r="DA21" s="344">
        <f t="shared" si="10"/>
        <v>149.76999999999998</v>
      </c>
      <c r="DB21" s="344"/>
      <c r="DC21" s="344">
        <f t="shared" si="11"/>
        <v>117.91</v>
      </c>
      <c r="DE21" s="380"/>
      <c r="DF21" s="380"/>
      <c r="DG21" s="380"/>
    </row>
    <row r="22" spans="1:111" x14ac:dyDescent="0.3">
      <c r="A22" s="326"/>
      <c r="B22" s="326"/>
      <c r="C22" s="326"/>
      <c r="D22" s="326"/>
      <c r="E22" s="326"/>
      <c r="F22" s="326"/>
      <c r="G22" s="326" t="s">
        <v>627</v>
      </c>
      <c r="H22" s="326"/>
      <c r="I22" s="327">
        <v>0</v>
      </c>
      <c r="J22" s="328"/>
      <c r="K22" s="327">
        <v>12479.17</v>
      </c>
      <c r="L22" s="328"/>
      <c r="M22" s="329">
        <f>ROUND(SUM(I22:K22),5)</f>
        <v>12479.17</v>
      </c>
      <c r="N22" s="328"/>
      <c r="O22" s="327">
        <v>0</v>
      </c>
      <c r="P22" s="328"/>
      <c r="Q22" s="327">
        <v>9388.2199999999993</v>
      </c>
      <c r="R22" s="328"/>
      <c r="S22" s="327">
        <v>366.57</v>
      </c>
      <c r="T22" s="328"/>
      <c r="U22" s="330">
        <f>ROUND(SUM(O22:S22),5)</f>
        <v>9754.7900000000009</v>
      </c>
      <c r="V22" s="328"/>
      <c r="W22" s="327">
        <v>0</v>
      </c>
      <c r="X22" s="328"/>
      <c r="Y22" s="327">
        <v>0</v>
      </c>
      <c r="Z22" s="328"/>
      <c r="AA22" s="327">
        <v>0</v>
      </c>
      <c r="AB22" s="328"/>
      <c r="AC22" s="327">
        <v>0</v>
      </c>
      <c r="AD22" s="328"/>
      <c r="AE22" s="327">
        <v>0</v>
      </c>
      <c r="AF22" s="328"/>
      <c r="AG22" s="331">
        <f>ROUND(SUM(AA22:AE22),5)</f>
        <v>0</v>
      </c>
      <c r="AH22" s="328"/>
      <c r="AI22" s="327">
        <v>0</v>
      </c>
      <c r="AJ22" s="328"/>
      <c r="AK22" s="327">
        <v>0</v>
      </c>
      <c r="AL22" s="328"/>
      <c r="AM22" s="327">
        <v>0</v>
      </c>
      <c r="AN22" s="328"/>
      <c r="AO22" s="327">
        <v>0</v>
      </c>
      <c r="AP22" s="328"/>
      <c r="AQ22" s="327">
        <f>ROUND(SUM(AI22:AO22),5)</f>
        <v>0</v>
      </c>
      <c r="AR22" s="328"/>
      <c r="AS22" s="327">
        <v>0</v>
      </c>
      <c r="AT22" s="328"/>
      <c r="AU22" s="327">
        <v>0</v>
      </c>
      <c r="AV22" s="328"/>
      <c r="AW22" s="327">
        <v>0</v>
      </c>
      <c r="AX22" s="328"/>
      <c r="AY22" s="327">
        <v>0</v>
      </c>
      <c r="AZ22" s="328"/>
      <c r="BA22" s="327">
        <v>0</v>
      </c>
      <c r="BB22" s="328"/>
      <c r="BC22" s="327">
        <v>0</v>
      </c>
      <c r="BD22" s="328"/>
      <c r="BE22" s="327">
        <v>0</v>
      </c>
      <c r="BF22" s="328"/>
      <c r="BG22" s="327">
        <v>0</v>
      </c>
      <c r="BH22" s="328"/>
      <c r="BI22" s="327">
        <v>0</v>
      </c>
      <c r="BJ22" s="328"/>
      <c r="BK22" s="327">
        <v>2379</v>
      </c>
      <c r="BL22" s="328"/>
      <c r="BM22" s="327">
        <f>ROUND(SUM(AU22:BK22),5)</f>
        <v>2379</v>
      </c>
      <c r="BN22" s="328"/>
      <c r="BO22" s="327">
        <f>ROUND(SUM(W22:Y22)+AG22+SUM(AQ22:AS22)+BM22,5)</f>
        <v>2379</v>
      </c>
      <c r="BP22" s="328"/>
      <c r="BQ22" s="331">
        <v>5833.93</v>
      </c>
      <c r="BR22" s="328"/>
      <c r="BS22" s="327">
        <v>0</v>
      </c>
      <c r="BT22" s="328"/>
      <c r="BU22" s="331">
        <v>0</v>
      </c>
      <c r="BV22" s="328"/>
      <c r="BW22" s="327">
        <v>0</v>
      </c>
      <c r="BX22" s="328"/>
      <c r="BY22" s="327">
        <v>0</v>
      </c>
      <c r="BZ22" s="328"/>
      <c r="CA22" s="331">
        <v>138.63</v>
      </c>
      <c r="CB22" s="328"/>
      <c r="CC22" s="331">
        <v>0</v>
      </c>
      <c r="CD22" s="328"/>
      <c r="CE22" s="327">
        <v>0</v>
      </c>
      <c r="CF22" s="328"/>
      <c r="CG22" s="327">
        <v>40.54</v>
      </c>
      <c r="CH22" s="328"/>
      <c r="CI22" s="327">
        <v>0</v>
      </c>
      <c r="CJ22" s="328"/>
      <c r="CK22" s="327">
        <v>0</v>
      </c>
      <c r="CL22" s="328"/>
      <c r="CM22" s="332">
        <f>ROUND(SUM(CE22:CK22),5)</f>
        <v>40.54</v>
      </c>
      <c r="CN22" s="328"/>
      <c r="CO22" s="331">
        <v>162</v>
      </c>
      <c r="CP22" s="328"/>
      <c r="CQ22" s="327">
        <v>0</v>
      </c>
      <c r="CR22" s="328"/>
      <c r="CS22" s="327">
        <f>ROUND(SUM(BQ22:CC22)+SUM(CM22:CQ22),5)</f>
        <v>6175.1</v>
      </c>
      <c r="CT22" s="328"/>
      <c r="CU22" s="327">
        <f>ROUND(BO22+CS22,5)</f>
        <v>8554.1</v>
      </c>
      <c r="CV22" s="328"/>
      <c r="CW22" s="329">
        <v>0</v>
      </c>
      <c r="CX22" s="328"/>
      <c r="CY22" s="327">
        <f>ROUND(M22+U22+SUM(CU22:CW22),5)</f>
        <v>30788.06</v>
      </c>
      <c r="CZ22" s="333">
        <v>10</v>
      </c>
      <c r="DA22" s="344">
        <f t="shared" si="10"/>
        <v>6134.56</v>
      </c>
      <c r="DB22" s="344"/>
      <c r="DC22" s="344">
        <f t="shared" si="11"/>
        <v>2379</v>
      </c>
    </row>
    <row r="23" spans="1:111" x14ac:dyDescent="0.3">
      <c r="A23" s="326"/>
      <c r="B23" s="326"/>
      <c r="C23" s="326"/>
      <c r="D23" s="326"/>
      <c r="E23" s="326"/>
      <c r="F23" s="326"/>
      <c r="G23" s="326" t="s">
        <v>628</v>
      </c>
      <c r="H23" s="326"/>
      <c r="I23" s="327"/>
      <c r="J23" s="328"/>
      <c r="K23" s="327"/>
      <c r="L23" s="328"/>
      <c r="M23" s="329"/>
      <c r="N23" s="328"/>
      <c r="O23" s="327"/>
      <c r="P23" s="328"/>
      <c r="Q23" s="327"/>
      <c r="R23" s="328"/>
      <c r="S23" s="327"/>
      <c r="T23" s="328"/>
      <c r="U23" s="330"/>
      <c r="V23" s="328"/>
      <c r="W23" s="327"/>
      <c r="X23" s="328"/>
      <c r="Y23" s="327"/>
      <c r="Z23" s="328"/>
      <c r="AA23" s="327"/>
      <c r="AB23" s="328"/>
      <c r="AC23" s="327"/>
      <c r="AD23" s="328"/>
      <c r="AE23" s="327"/>
      <c r="AF23" s="328"/>
      <c r="AG23" s="331"/>
      <c r="AH23" s="328"/>
      <c r="AI23" s="327"/>
      <c r="AJ23" s="328"/>
      <c r="AK23" s="327"/>
      <c r="AL23" s="328"/>
      <c r="AM23" s="327"/>
      <c r="AN23" s="328"/>
      <c r="AO23" s="327"/>
      <c r="AP23" s="328"/>
      <c r="AQ23" s="327"/>
      <c r="AR23" s="328"/>
      <c r="AS23" s="327"/>
      <c r="AT23" s="328"/>
      <c r="AU23" s="327"/>
      <c r="AV23" s="328"/>
      <c r="AW23" s="327"/>
      <c r="AX23" s="328"/>
      <c r="AY23" s="327"/>
      <c r="AZ23" s="328"/>
      <c r="BA23" s="327"/>
      <c r="BB23" s="328"/>
      <c r="BC23" s="327"/>
      <c r="BD23" s="328"/>
      <c r="BE23" s="327"/>
      <c r="BF23" s="328"/>
      <c r="BG23" s="327"/>
      <c r="BH23" s="328"/>
      <c r="BI23" s="327"/>
      <c r="BJ23" s="328"/>
      <c r="BK23" s="327"/>
      <c r="BL23" s="328"/>
      <c r="BM23" s="327"/>
      <c r="BN23" s="328"/>
      <c r="BO23" s="327"/>
      <c r="BP23" s="328"/>
      <c r="BQ23" s="331"/>
      <c r="BR23" s="328"/>
      <c r="BS23" s="327"/>
      <c r="BT23" s="328"/>
      <c r="BU23" s="331"/>
      <c r="BV23" s="328"/>
      <c r="BW23" s="327"/>
      <c r="BX23" s="328"/>
      <c r="BY23" s="327"/>
      <c r="BZ23" s="328"/>
      <c r="CA23" s="331"/>
      <c r="CB23" s="328"/>
      <c r="CC23" s="331"/>
      <c r="CD23" s="328"/>
      <c r="CE23" s="327"/>
      <c r="CF23" s="328"/>
      <c r="CG23" s="327"/>
      <c r="CH23" s="328"/>
      <c r="CI23" s="327"/>
      <c r="CJ23" s="328"/>
      <c r="CK23" s="327"/>
      <c r="CL23" s="328"/>
      <c r="CM23" s="332"/>
      <c r="CN23" s="328"/>
      <c r="CO23" s="331"/>
      <c r="CP23" s="328"/>
      <c r="CQ23" s="327"/>
      <c r="CR23" s="328"/>
      <c r="CS23" s="327"/>
      <c r="CT23" s="328"/>
      <c r="CU23" s="327"/>
      <c r="CV23" s="328"/>
      <c r="CW23" s="329"/>
      <c r="CX23" s="328"/>
      <c r="CY23" s="327"/>
      <c r="DA23" s="344">
        <f t="shared" si="10"/>
        <v>0</v>
      </c>
      <c r="DB23" s="344"/>
      <c r="DC23" s="344">
        <f t="shared" si="11"/>
        <v>0</v>
      </c>
      <c r="DE23" s="378"/>
    </row>
    <row r="24" spans="1:111" x14ac:dyDescent="0.3">
      <c r="A24" s="326"/>
      <c r="B24" s="326"/>
      <c r="C24" s="326"/>
      <c r="D24" s="326"/>
      <c r="E24" s="326"/>
      <c r="F24" s="326"/>
      <c r="G24" s="326"/>
      <c r="H24" s="326" t="s">
        <v>629</v>
      </c>
      <c r="I24" s="327">
        <v>0</v>
      </c>
      <c r="J24" s="328"/>
      <c r="K24" s="327">
        <v>3194.36</v>
      </c>
      <c r="L24" s="328"/>
      <c r="M24" s="329">
        <f>ROUND(SUM(I24:K24),5)</f>
        <v>3194.36</v>
      </c>
      <c r="N24" s="328"/>
      <c r="O24" s="327">
        <v>0</v>
      </c>
      <c r="P24" s="328"/>
      <c r="Q24" s="327">
        <v>0</v>
      </c>
      <c r="R24" s="328"/>
      <c r="S24" s="327">
        <v>2270.85</v>
      </c>
      <c r="T24" s="328"/>
      <c r="U24" s="330">
        <f>ROUND(SUM(O24:S24),5)</f>
        <v>2270.85</v>
      </c>
      <c r="V24" s="328"/>
      <c r="W24" s="327">
        <v>0</v>
      </c>
      <c r="X24" s="328"/>
      <c r="Y24" s="327">
        <v>60.46</v>
      </c>
      <c r="Z24" s="328"/>
      <c r="AA24" s="327">
        <v>0</v>
      </c>
      <c r="AB24" s="328"/>
      <c r="AC24" s="327">
        <v>0</v>
      </c>
      <c r="AD24" s="328"/>
      <c r="AE24" s="327">
        <v>0</v>
      </c>
      <c r="AF24" s="328"/>
      <c r="AG24" s="331">
        <f>ROUND(SUM(AA24:AE24),5)</f>
        <v>0</v>
      </c>
      <c r="AH24" s="328"/>
      <c r="AI24" s="327">
        <v>0</v>
      </c>
      <c r="AJ24" s="328"/>
      <c r="AK24" s="327">
        <v>0</v>
      </c>
      <c r="AL24" s="328"/>
      <c r="AM24" s="327">
        <v>0</v>
      </c>
      <c r="AN24" s="328"/>
      <c r="AO24" s="327">
        <v>0</v>
      </c>
      <c r="AP24" s="328"/>
      <c r="AQ24" s="327">
        <f>ROUND(SUM(AI24:AO24),5)</f>
        <v>0</v>
      </c>
      <c r="AR24" s="328"/>
      <c r="AS24" s="327">
        <v>59.53</v>
      </c>
      <c r="AT24" s="328"/>
      <c r="AU24" s="327">
        <v>0</v>
      </c>
      <c r="AV24" s="328"/>
      <c r="AW24" s="327">
        <v>53.94</v>
      </c>
      <c r="AX24" s="328"/>
      <c r="AY24" s="327">
        <v>15.39</v>
      </c>
      <c r="AZ24" s="328"/>
      <c r="BA24" s="327">
        <v>62.06</v>
      </c>
      <c r="BB24" s="328"/>
      <c r="BC24" s="327">
        <v>52</v>
      </c>
      <c r="BD24" s="328"/>
      <c r="BE24" s="327">
        <v>534.80999999999995</v>
      </c>
      <c r="BF24" s="328"/>
      <c r="BG24" s="327">
        <v>0</v>
      </c>
      <c r="BH24" s="328"/>
      <c r="BI24" s="327">
        <v>0</v>
      </c>
      <c r="BJ24" s="328"/>
      <c r="BK24" s="327">
        <v>0</v>
      </c>
      <c r="BL24" s="328"/>
      <c r="BM24" s="327">
        <f>ROUND(SUM(AU24:BK24),5)</f>
        <v>718.2</v>
      </c>
      <c r="BN24" s="328"/>
      <c r="BO24" s="327">
        <f>ROUND(SUM(W24:Y24)+AG24+SUM(AQ24:AS24)+BM24,5)</f>
        <v>838.19</v>
      </c>
      <c r="BP24" s="328"/>
      <c r="BQ24" s="331">
        <v>931.46</v>
      </c>
      <c r="BR24" s="328"/>
      <c r="BS24" s="327">
        <v>0</v>
      </c>
      <c r="BT24" s="328"/>
      <c r="BU24" s="331">
        <v>0</v>
      </c>
      <c r="BV24" s="328"/>
      <c r="BW24" s="327">
        <v>687.26</v>
      </c>
      <c r="BX24" s="328"/>
      <c r="BY24" s="327">
        <v>0</v>
      </c>
      <c r="BZ24" s="328"/>
      <c r="CA24" s="331">
        <v>0</v>
      </c>
      <c r="CB24" s="328"/>
      <c r="CC24" s="331">
        <v>0</v>
      </c>
      <c r="CD24" s="328"/>
      <c r="CE24" s="327">
        <v>0</v>
      </c>
      <c r="CF24" s="328"/>
      <c r="CG24" s="327">
        <v>0</v>
      </c>
      <c r="CH24" s="328"/>
      <c r="CI24" s="327">
        <v>0</v>
      </c>
      <c r="CJ24" s="328"/>
      <c r="CK24" s="327">
        <v>249.81</v>
      </c>
      <c r="CL24" s="328"/>
      <c r="CM24" s="332">
        <f>ROUND(SUM(CE24:CK24),5)</f>
        <v>249.81</v>
      </c>
      <c r="CN24" s="328"/>
      <c r="CO24" s="331">
        <v>0</v>
      </c>
      <c r="CP24" s="328"/>
      <c r="CQ24" s="327">
        <v>0</v>
      </c>
      <c r="CR24" s="328"/>
      <c r="CS24" s="327">
        <f>ROUND(SUM(BQ24:CC24)+SUM(CM24:CQ24),5)</f>
        <v>1868.53</v>
      </c>
      <c r="CT24" s="328"/>
      <c r="CU24" s="327">
        <f>ROUND(BO24+CS24,5)</f>
        <v>2706.72</v>
      </c>
      <c r="CV24" s="328"/>
      <c r="CW24" s="329">
        <v>0</v>
      </c>
      <c r="CX24" s="328"/>
      <c r="CY24" s="327">
        <f>ROUND(M24+U24+SUM(CU24:CW24),5)</f>
        <v>8171.93</v>
      </c>
      <c r="CZ24" s="333">
        <v>7</v>
      </c>
      <c r="DA24" s="344">
        <f t="shared" si="10"/>
        <v>931.46</v>
      </c>
      <c r="DB24" s="344"/>
      <c r="DC24" s="344">
        <f t="shared" si="11"/>
        <v>1525.45</v>
      </c>
    </row>
    <row r="25" spans="1:111" x14ac:dyDescent="0.3">
      <c r="A25" s="326"/>
      <c r="B25" s="326"/>
      <c r="C25" s="326"/>
      <c r="D25" s="326"/>
      <c r="E25" s="326"/>
      <c r="F25" s="326"/>
      <c r="G25" s="326"/>
      <c r="H25" s="326" t="s">
        <v>630</v>
      </c>
      <c r="I25" s="327">
        <v>0</v>
      </c>
      <c r="J25" s="328"/>
      <c r="K25" s="327">
        <v>28851.86</v>
      </c>
      <c r="L25" s="328"/>
      <c r="M25" s="329">
        <f>ROUND(SUM(I25:K25),5)</f>
        <v>28851.86</v>
      </c>
      <c r="N25" s="328"/>
      <c r="O25" s="327">
        <v>0</v>
      </c>
      <c r="P25" s="328"/>
      <c r="Q25" s="327">
        <v>0</v>
      </c>
      <c r="R25" s="328"/>
      <c r="S25" s="327">
        <v>12143.14</v>
      </c>
      <c r="T25" s="328"/>
      <c r="U25" s="330">
        <f>ROUND(SUM(O25:S25),5)</f>
        <v>12143.14</v>
      </c>
      <c r="V25" s="328"/>
      <c r="W25" s="327">
        <v>0</v>
      </c>
      <c r="X25" s="328"/>
      <c r="Y25" s="327">
        <v>739.49</v>
      </c>
      <c r="Z25" s="328"/>
      <c r="AA25" s="327">
        <v>0</v>
      </c>
      <c r="AB25" s="328"/>
      <c r="AC25" s="327">
        <v>0</v>
      </c>
      <c r="AD25" s="328"/>
      <c r="AE25" s="327">
        <v>0</v>
      </c>
      <c r="AF25" s="328"/>
      <c r="AG25" s="331">
        <f>ROUND(SUM(AA25:AE25),5)</f>
        <v>0</v>
      </c>
      <c r="AH25" s="328"/>
      <c r="AI25" s="327">
        <v>0</v>
      </c>
      <c r="AJ25" s="328"/>
      <c r="AK25" s="327">
        <v>0</v>
      </c>
      <c r="AL25" s="328"/>
      <c r="AM25" s="327">
        <v>0</v>
      </c>
      <c r="AN25" s="328"/>
      <c r="AO25" s="327">
        <v>0</v>
      </c>
      <c r="AP25" s="328"/>
      <c r="AQ25" s="327">
        <f>ROUND(SUM(AI25:AO25),5)</f>
        <v>0</v>
      </c>
      <c r="AR25" s="328"/>
      <c r="AS25" s="327">
        <v>369.15</v>
      </c>
      <c r="AT25" s="328"/>
      <c r="AU25" s="327">
        <v>0</v>
      </c>
      <c r="AV25" s="328"/>
      <c r="AW25" s="327">
        <v>665.8</v>
      </c>
      <c r="AX25" s="328"/>
      <c r="AY25" s="327">
        <v>347.91</v>
      </c>
      <c r="AZ25" s="328"/>
      <c r="BA25" s="327">
        <v>678.54</v>
      </c>
      <c r="BB25" s="328"/>
      <c r="BC25" s="327">
        <v>434</v>
      </c>
      <c r="BD25" s="328"/>
      <c r="BE25" s="327">
        <v>3249.89</v>
      </c>
      <c r="BF25" s="328"/>
      <c r="BG25" s="327">
        <v>0</v>
      </c>
      <c r="BH25" s="328"/>
      <c r="BI25" s="327">
        <v>0</v>
      </c>
      <c r="BJ25" s="328"/>
      <c r="BK25" s="327">
        <v>0</v>
      </c>
      <c r="BL25" s="328"/>
      <c r="BM25" s="327">
        <f>ROUND(SUM(AU25:BK25),5)</f>
        <v>5376.14</v>
      </c>
      <c r="BN25" s="328"/>
      <c r="BO25" s="327">
        <f>ROUND(SUM(W25:Y25)+AG25+SUM(AQ25:AS25)+BM25,5)</f>
        <v>6484.78</v>
      </c>
      <c r="BP25" s="328"/>
      <c r="BQ25" s="331">
        <v>6581.76</v>
      </c>
      <c r="BR25" s="328"/>
      <c r="BS25" s="327">
        <v>0</v>
      </c>
      <c r="BT25" s="328"/>
      <c r="BU25" s="331">
        <v>0</v>
      </c>
      <c r="BV25" s="328"/>
      <c r="BW25" s="327">
        <v>4640</v>
      </c>
      <c r="BX25" s="328"/>
      <c r="BY25" s="327">
        <v>0</v>
      </c>
      <c r="BZ25" s="328"/>
      <c r="CA25" s="331">
        <v>5638</v>
      </c>
      <c r="CB25" s="328"/>
      <c r="CC25" s="331">
        <v>0</v>
      </c>
      <c r="CD25" s="328"/>
      <c r="CE25" s="327">
        <v>0</v>
      </c>
      <c r="CF25" s="328"/>
      <c r="CG25" s="327">
        <v>0</v>
      </c>
      <c r="CH25" s="328"/>
      <c r="CI25" s="327">
        <v>0</v>
      </c>
      <c r="CJ25" s="328"/>
      <c r="CK25" s="327">
        <v>2039.67</v>
      </c>
      <c r="CL25" s="328"/>
      <c r="CM25" s="332">
        <f>ROUND(SUM(CE25:CK25),5)</f>
        <v>2039.67</v>
      </c>
      <c r="CN25" s="328"/>
      <c r="CO25" s="331">
        <v>14.97</v>
      </c>
      <c r="CP25" s="328"/>
      <c r="CQ25" s="327">
        <v>0</v>
      </c>
      <c r="CR25" s="328"/>
      <c r="CS25" s="327">
        <f>ROUND(SUM(BQ25:CC25)+SUM(CM25:CQ25),5)</f>
        <v>18914.400000000001</v>
      </c>
      <c r="CT25" s="328"/>
      <c r="CU25" s="327">
        <f>ROUND(BO25+CS25,5)</f>
        <v>25399.18</v>
      </c>
      <c r="CV25" s="328"/>
      <c r="CW25" s="329">
        <v>0</v>
      </c>
      <c r="CX25" s="328"/>
      <c r="CY25" s="327">
        <f>ROUND(M25+U25+SUM(CU25:CW25),5)</f>
        <v>66394.179999999993</v>
      </c>
      <c r="CZ25" s="333">
        <v>7</v>
      </c>
      <c r="DA25" s="344">
        <f t="shared" si="10"/>
        <v>12234.73</v>
      </c>
      <c r="DB25" s="344"/>
      <c r="DC25" s="344">
        <f t="shared" si="11"/>
        <v>11124.779999999999</v>
      </c>
    </row>
    <row r="26" spans="1:111" ht="15" thickBot="1" x14ac:dyDescent="0.35">
      <c r="A26" s="326"/>
      <c r="B26" s="326"/>
      <c r="C26" s="326"/>
      <c r="D26" s="326"/>
      <c r="E26" s="326"/>
      <c r="F26" s="326"/>
      <c r="G26" s="326"/>
      <c r="H26" s="326" t="s">
        <v>631</v>
      </c>
      <c r="I26" s="339">
        <v>0</v>
      </c>
      <c r="J26" s="328"/>
      <c r="K26" s="339">
        <v>29565.03</v>
      </c>
      <c r="L26" s="328"/>
      <c r="M26" s="340">
        <f>ROUND(SUM(I26:K26),5)</f>
        <v>29565.03</v>
      </c>
      <c r="N26" s="328"/>
      <c r="O26" s="339">
        <v>0</v>
      </c>
      <c r="P26" s="328"/>
      <c r="Q26" s="339">
        <v>0</v>
      </c>
      <c r="R26" s="328"/>
      <c r="S26" s="339">
        <v>5404.34</v>
      </c>
      <c r="T26" s="328"/>
      <c r="U26" s="341">
        <f>ROUND(SUM(O26:S26),5)</f>
        <v>5404.34</v>
      </c>
      <c r="V26" s="328"/>
      <c r="W26" s="339">
        <v>682.38</v>
      </c>
      <c r="X26" s="328"/>
      <c r="Y26" s="339">
        <v>2041.38</v>
      </c>
      <c r="Z26" s="328"/>
      <c r="AA26" s="339">
        <v>0</v>
      </c>
      <c r="AB26" s="328"/>
      <c r="AC26" s="339">
        <v>0</v>
      </c>
      <c r="AD26" s="328"/>
      <c r="AE26" s="339">
        <v>0</v>
      </c>
      <c r="AF26" s="328"/>
      <c r="AG26" s="342">
        <f>ROUND(SUM(AA26:AE26),5)</f>
        <v>0</v>
      </c>
      <c r="AH26" s="328"/>
      <c r="AI26" s="339">
        <v>3202.61</v>
      </c>
      <c r="AJ26" s="328"/>
      <c r="AK26" s="339">
        <v>305.87</v>
      </c>
      <c r="AL26" s="328"/>
      <c r="AM26" s="339">
        <v>0</v>
      </c>
      <c r="AN26" s="328"/>
      <c r="AO26" s="339">
        <v>435.99</v>
      </c>
      <c r="AP26" s="328"/>
      <c r="AQ26" s="339">
        <f>ROUND(SUM(AI26:AO26),5)</f>
        <v>3944.47</v>
      </c>
      <c r="AR26" s="328"/>
      <c r="AS26" s="339">
        <v>109.66</v>
      </c>
      <c r="AT26" s="328"/>
      <c r="AU26" s="339">
        <v>0</v>
      </c>
      <c r="AV26" s="328"/>
      <c r="AW26" s="339">
        <v>379.28</v>
      </c>
      <c r="AX26" s="328"/>
      <c r="AY26" s="339">
        <v>35.82</v>
      </c>
      <c r="AZ26" s="328"/>
      <c r="BA26" s="339">
        <v>2197.73</v>
      </c>
      <c r="BB26" s="328"/>
      <c r="BC26" s="339">
        <v>57</v>
      </c>
      <c r="BD26" s="328"/>
      <c r="BE26" s="339">
        <v>14683.14</v>
      </c>
      <c r="BF26" s="328"/>
      <c r="BG26" s="339">
        <v>0</v>
      </c>
      <c r="BH26" s="328"/>
      <c r="BI26" s="339">
        <v>0</v>
      </c>
      <c r="BJ26" s="328"/>
      <c r="BK26" s="339">
        <v>0</v>
      </c>
      <c r="BL26" s="328"/>
      <c r="BM26" s="339">
        <f>ROUND(SUM(AU26:BK26),5)</f>
        <v>17352.97</v>
      </c>
      <c r="BN26" s="328"/>
      <c r="BO26" s="339">
        <f>ROUND(SUM(W26:Y26)+AG26+SUM(AQ26:AS26)+BM26,5)</f>
        <v>24130.86</v>
      </c>
      <c r="BP26" s="328"/>
      <c r="BQ26" s="342">
        <v>8170.7</v>
      </c>
      <c r="BR26" s="328"/>
      <c r="BS26" s="339">
        <v>0</v>
      </c>
      <c r="BT26" s="328"/>
      <c r="BU26" s="342">
        <v>0</v>
      </c>
      <c r="BV26" s="328"/>
      <c r="BW26" s="339">
        <v>7660</v>
      </c>
      <c r="BX26" s="328"/>
      <c r="BY26" s="339">
        <v>0</v>
      </c>
      <c r="BZ26" s="328"/>
      <c r="CA26" s="342">
        <v>3073.83</v>
      </c>
      <c r="CB26" s="328"/>
      <c r="CC26" s="342">
        <v>0</v>
      </c>
      <c r="CD26" s="328"/>
      <c r="CE26" s="339">
        <v>0</v>
      </c>
      <c r="CF26" s="328"/>
      <c r="CG26" s="339">
        <v>0</v>
      </c>
      <c r="CH26" s="328"/>
      <c r="CI26" s="339">
        <v>8174.89</v>
      </c>
      <c r="CJ26" s="328"/>
      <c r="CK26" s="339">
        <v>643.79999999999995</v>
      </c>
      <c r="CL26" s="328"/>
      <c r="CM26" s="343">
        <f>ROUND(SUM(CE26:CK26),5)</f>
        <v>8818.69</v>
      </c>
      <c r="CN26" s="328"/>
      <c r="CO26" s="342">
        <v>243.33</v>
      </c>
      <c r="CP26" s="328"/>
      <c r="CQ26" s="339">
        <v>0</v>
      </c>
      <c r="CR26" s="328"/>
      <c r="CS26" s="339">
        <f>ROUND(SUM(BQ26:CC26)+SUM(CM26:CQ26),5)</f>
        <v>27966.55</v>
      </c>
      <c r="CT26" s="328"/>
      <c r="CU26" s="339">
        <f>ROUND(BO26+CS26,5)</f>
        <v>52097.41</v>
      </c>
      <c r="CV26" s="328"/>
      <c r="CW26" s="340">
        <v>0</v>
      </c>
      <c r="CX26" s="328"/>
      <c r="CY26" s="339">
        <f>ROUND(M26+U26+SUM(CU26:CW26),5)</f>
        <v>87066.78</v>
      </c>
      <c r="CZ26" s="333">
        <v>7</v>
      </c>
      <c r="DA26" s="344">
        <f t="shared" si="10"/>
        <v>11487.86</v>
      </c>
      <c r="DB26" s="344"/>
      <c r="DC26" s="344">
        <f t="shared" si="11"/>
        <v>31790.860000000004</v>
      </c>
    </row>
    <row r="27" spans="1:111" x14ac:dyDescent="0.3">
      <c r="A27" s="326"/>
      <c r="B27" s="326"/>
      <c r="C27" s="326"/>
      <c r="D27" s="326"/>
      <c r="E27" s="326"/>
      <c r="F27" s="326"/>
      <c r="G27" s="326" t="s">
        <v>632</v>
      </c>
      <c r="H27" s="326"/>
      <c r="I27" s="327">
        <f>ROUND(SUM(I23:I26),5)</f>
        <v>0</v>
      </c>
      <c r="J27" s="328"/>
      <c r="K27" s="327">
        <f>ROUND(SUM(K23:K26),5)</f>
        <v>61611.25</v>
      </c>
      <c r="L27" s="328"/>
      <c r="M27" s="329">
        <f>ROUND(SUM(I27:K27),5)</f>
        <v>61611.25</v>
      </c>
      <c r="N27" s="328"/>
      <c r="O27" s="327">
        <f>ROUND(SUM(O23:O26),5)</f>
        <v>0</v>
      </c>
      <c r="P27" s="328"/>
      <c r="Q27" s="327">
        <f>ROUND(SUM(Q23:Q26),5)</f>
        <v>0</v>
      </c>
      <c r="R27" s="328"/>
      <c r="S27" s="327">
        <f>ROUND(SUM(S23:S26),5)</f>
        <v>19818.330000000002</v>
      </c>
      <c r="T27" s="328"/>
      <c r="U27" s="330">
        <f>ROUND(SUM(O27:S27),5)</f>
        <v>19818.330000000002</v>
      </c>
      <c r="V27" s="328"/>
      <c r="W27" s="327">
        <f>ROUND(SUM(W23:W26),5)</f>
        <v>682.38</v>
      </c>
      <c r="X27" s="328"/>
      <c r="Y27" s="327">
        <f>ROUND(SUM(Y23:Y26),5)</f>
        <v>2841.33</v>
      </c>
      <c r="Z27" s="328"/>
      <c r="AA27" s="327">
        <f>ROUND(SUM(AA23:AA26),5)</f>
        <v>0</v>
      </c>
      <c r="AB27" s="328"/>
      <c r="AC27" s="327">
        <f>ROUND(SUM(AC23:AC26),5)</f>
        <v>0</v>
      </c>
      <c r="AD27" s="328"/>
      <c r="AE27" s="327">
        <f>ROUND(SUM(AE23:AE26),5)</f>
        <v>0</v>
      </c>
      <c r="AF27" s="328"/>
      <c r="AG27" s="331">
        <f>ROUND(SUM(AA27:AE27),5)</f>
        <v>0</v>
      </c>
      <c r="AH27" s="328"/>
      <c r="AI27" s="327">
        <f>ROUND(SUM(AI23:AI26),5)</f>
        <v>3202.61</v>
      </c>
      <c r="AJ27" s="328"/>
      <c r="AK27" s="327">
        <f>ROUND(SUM(AK23:AK26),5)</f>
        <v>305.87</v>
      </c>
      <c r="AL27" s="328"/>
      <c r="AM27" s="327">
        <f>ROUND(SUM(AM23:AM26),5)</f>
        <v>0</v>
      </c>
      <c r="AN27" s="328"/>
      <c r="AO27" s="327">
        <f>ROUND(SUM(AO23:AO26),5)</f>
        <v>435.99</v>
      </c>
      <c r="AP27" s="328"/>
      <c r="AQ27" s="327">
        <f>ROUND(SUM(AI27:AO27),5)</f>
        <v>3944.47</v>
      </c>
      <c r="AR27" s="328"/>
      <c r="AS27" s="327">
        <f>ROUND(SUM(AS23:AS26),5)</f>
        <v>538.34</v>
      </c>
      <c r="AT27" s="328"/>
      <c r="AU27" s="327">
        <f>ROUND(SUM(AU23:AU26),5)</f>
        <v>0</v>
      </c>
      <c r="AV27" s="328"/>
      <c r="AW27" s="327">
        <f>ROUND(SUM(AW23:AW26),5)</f>
        <v>1099.02</v>
      </c>
      <c r="AX27" s="328"/>
      <c r="AY27" s="327">
        <f>ROUND(SUM(AY23:AY26),5)</f>
        <v>399.12</v>
      </c>
      <c r="AZ27" s="328"/>
      <c r="BA27" s="327">
        <f>ROUND(SUM(BA23:BA26),5)</f>
        <v>2938.33</v>
      </c>
      <c r="BB27" s="328"/>
      <c r="BC27" s="327">
        <f>ROUND(SUM(BC23:BC26),5)</f>
        <v>543</v>
      </c>
      <c r="BD27" s="328"/>
      <c r="BE27" s="327">
        <f>ROUND(SUM(BE23:BE26),5)</f>
        <v>18467.84</v>
      </c>
      <c r="BF27" s="328"/>
      <c r="BG27" s="327">
        <f>ROUND(SUM(BG23:BG26),5)</f>
        <v>0</v>
      </c>
      <c r="BH27" s="328"/>
      <c r="BI27" s="327">
        <f>ROUND(SUM(BI23:BI26),5)</f>
        <v>0</v>
      </c>
      <c r="BJ27" s="328"/>
      <c r="BK27" s="327">
        <f>ROUND(SUM(BK23:BK26),5)</f>
        <v>0</v>
      </c>
      <c r="BL27" s="328"/>
      <c r="BM27" s="327">
        <f>ROUND(SUM(AU27:BK27),5)</f>
        <v>23447.31</v>
      </c>
      <c r="BN27" s="328"/>
      <c r="BO27" s="327">
        <f>ROUND(SUM(W27:Y27)+AG27+SUM(AQ27:AS27)+BM27,5)</f>
        <v>31453.83</v>
      </c>
      <c r="BP27" s="328"/>
      <c r="BQ27" s="331">
        <f>ROUND(SUM(BQ23:BQ26),5)</f>
        <v>15683.92</v>
      </c>
      <c r="BR27" s="328"/>
      <c r="BS27" s="327">
        <f>ROUND(SUM(BS23:BS26),5)</f>
        <v>0</v>
      </c>
      <c r="BT27" s="328"/>
      <c r="BU27" s="331">
        <f>ROUND(SUM(BU23:BU26),5)</f>
        <v>0</v>
      </c>
      <c r="BV27" s="328"/>
      <c r="BW27" s="327">
        <f>ROUND(SUM(BW23:BW26),5)</f>
        <v>12987.26</v>
      </c>
      <c r="BX27" s="328"/>
      <c r="BY27" s="327">
        <f>ROUND(SUM(BY23:BY26),5)</f>
        <v>0</v>
      </c>
      <c r="BZ27" s="328"/>
      <c r="CA27" s="331">
        <f>ROUND(SUM(CA23:CA26),5)</f>
        <v>8711.83</v>
      </c>
      <c r="CB27" s="328"/>
      <c r="CC27" s="331">
        <f>ROUND(SUM(CC23:CC26),5)</f>
        <v>0</v>
      </c>
      <c r="CD27" s="328"/>
      <c r="CE27" s="327">
        <f>ROUND(SUM(CE23:CE26),5)</f>
        <v>0</v>
      </c>
      <c r="CF27" s="328"/>
      <c r="CG27" s="327">
        <f>ROUND(SUM(CG23:CG26),5)</f>
        <v>0</v>
      </c>
      <c r="CH27" s="328"/>
      <c r="CI27" s="327">
        <f>ROUND(SUM(CI23:CI26),5)</f>
        <v>8174.89</v>
      </c>
      <c r="CJ27" s="328"/>
      <c r="CK27" s="327">
        <f>ROUND(SUM(CK23:CK26),5)</f>
        <v>2933.28</v>
      </c>
      <c r="CL27" s="328"/>
      <c r="CM27" s="332">
        <f>ROUND(SUM(CE27:CK27),5)</f>
        <v>11108.17</v>
      </c>
      <c r="CN27" s="328"/>
      <c r="CO27" s="331">
        <f>ROUND(SUM(CO23:CO26),5)</f>
        <v>258.3</v>
      </c>
      <c r="CP27" s="328"/>
      <c r="CQ27" s="327">
        <f>ROUND(SUM(CQ23:CQ26),5)</f>
        <v>0</v>
      </c>
      <c r="CR27" s="328"/>
      <c r="CS27" s="327">
        <f>ROUND(SUM(BQ27:CC27)+SUM(CM27:CQ27),5)</f>
        <v>48749.48</v>
      </c>
      <c r="CT27" s="328"/>
      <c r="CU27" s="327">
        <f>ROUND(BO27+CS27,5)</f>
        <v>80203.31</v>
      </c>
      <c r="CV27" s="328"/>
      <c r="CW27" s="329">
        <f>ROUND(SUM(CW23:CW26),5)</f>
        <v>0</v>
      </c>
      <c r="CX27" s="328"/>
      <c r="CY27" s="327">
        <f>ROUND(M27+U27+SUM(CU27:CW27),5)</f>
        <v>161632.89000000001</v>
      </c>
      <c r="DA27" s="344">
        <f t="shared" si="10"/>
        <v>24654.05</v>
      </c>
      <c r="DB27" s="344"/>
      <c r="DC27" s="344">
        <f t="shared" si="11"/>
        <v>44441.09</v>
      </c>
      <c r="DE27" s="377"/>
    </row>
    <row r="28" spans="1:111" s="345" customFormat="1" x14ac:dyDescent="0.3">
      <c r="A28" s="326"/>
      <c r="B28" s="326"/>
      <c r="C28" s="326"/>
      <c r="D28" s="326"/>
      <c r="E28" s="326"/>
      <c r="F28" s="326"/>
      <c r="G28" s="326" t="s">
        <v>633</v>
      </c>
      <c r="H28" s="326"/>
      <c r="I28" s="327"/>
      <c r="J28" s="328"/>
      <c r="K28" s="327"/>
      <c r="L28" s="328"/>
      <c r="M28" s="329"/>
      <c r="N28" s="328"/>
      <c r="O28" s="327"/>
      <c r="P28" s="328"/>
      <c r="Q28" s="327"/>
      <c r="R28" s="328"/>
      <c r="S28" s="327"/>
      <c r="T28" s="328"/>
      <c r="U28" s="330"/>
      <c r="V28" s="328"/>
      <c r="W28" s="327"/>
      <c r="X28" s="328"/>
      <c r="Y28" s="327"/>
      <c r="Z28" s="328"/>
      <c r="AA28" s="327"/>
      <c r="AB28" s="328"/>
      <c r="AC28" s="327"/>
      <c r="AD28" s="328"/>
      <c r="AE28" s="327"/>
      <c r="AF28" s="328"/>
      <c r="AG28" s="331"/>
      <c r="AH28" s="328"/>
      <c r="AI28" s="327"/>
      <c r="AJ28" s="328"/>
      <c r="AK28" s="327"/>
      <c r="AL28" s="328"/>
      <c r="AM28" s="327"/>
      <c r="AN28" s="328"/>
      <c r="AO28" s="327"/>
      <c r="AP28" s="328"/>
      <c r="AQ28" s="327"/>
      <c r="AR28" s="328"/>
      <c r="AS28" s="327"/>
      <c r="AT28" s="328"/>
      <c r="AU28" s="327"/>
      <c r="AV28" s="328"/>
      <c r="AW28" s="327"/>
      <c r="AX28" s="328"/>
      <c r="AY28" s="327"/>
      <c r="AZ28" s="328"/>
      <c r="BA28" s="327"/>
      <c r="BB28" s="328"/>
      <c r="BC28" s="327"/>
      <c r="BD28" s="328"/>
      <c r="BE28" s="327"/>
      <c r="BF28" s="328"/>
      <c r="BG28" s="327"/>
      <c r="BH28" s="328"/>
      <c r="BI28" s="327"/>
      <c r="BJ28" s="328"/>
      <c r="BK28" s="327"/>
      <c r="BL28" s="328"/>
      <c r="BM28" s="327"/>
      <c r="BN28" s="328"/>
      <c r="BO28" s="327"/>
      <c r="BP28" s="328"/>
      <c r="BQ28" s="331"/>
      <c r="BR28" s="328"/>
      <c r="BS28" s="327"/>
      <c r="BT28" s="328"/>
      <c r="BU28" s="331"/>
      <c r="BV28" s="328"/>
      <c r="BW28" s="327"/>
      <c r="BX28" s="328"/>
      <c r="BY28" s="327"/>
      <c r="BZ28" s="328"/>
      <c r="CA28" s="331"/>
      <c r="CB28" s="328"/>
      <c r="CC28" s="331"/>
      <c r="CD28" s="328"/>
      <c r="CE28" s="327"/>
      <c r="CF28" s="328"/>
      <c r="CG28" s="327"/>
      <c r="CH28" s="328"/>
      <c r="CI28" s="327"/>
      <c r="CJ28" s="328"/>
      <c r="CK28" s="327"/>
      <c r="CL28" s="328"/>
      <c r="CM28" s="332"/>
      <c r="CN28" s="328"/>
      <c r="CO28" s="331"/>
      <c r="CP28" s="328"/>
      <c r="CQ28" s="327"/>
      <c r="CR28" s="328"/>
      <c r="CS28" s="327"/>
      <c r="CT28" s="328"/>
      <c r="CU28" s="327"/>
      <c r="CV28" s="328"/>
      <c r="CW28" s="329"/>
      <c r="CX28" s="328"/>
      <c r="CY28" s="327"/>
      <c r="DA28" s="344">
        <f t="shared" si="10"/>
        <v>0</v>
      </c>
      <c r="DB28" s="344"/>
      <c r="DC28" s="344">
        <f t="shared" si="11"/>
        <v>0</v>
      </c>
    </row>
    <row r="29" spans="1:111" x14ac:dyDescent="0.3">
      <c r="A29" s="326"/>
      <c r="B29" s="326"/>
      <c r="C29" s="326"/>
      <c r="D29" s="326"/>
      <c r="E29" s="326"/>
      <c r="F29" s="326"/>
      <c r="G29" s="326"/>
      <c r="H29" s="326" t="s">
        <v>634</v>
      </c>
      <c r="I29" s="327">
        <v>0</v>
      </c>
      <c r="J29" s="328"/>
      <c r="K29" s="327">
        <v>9620</v>
      </c>
      <c r="L29" s="328"/>
      <c r="M29" s="329">
        <f t="shared" ref="M29:M38" si="12">ROUND(SUM(I29:K29),5)</f>
        <v>9620</v>
      </c>
      <c r="N29" s="328"/>
      <c r="O29" s="327">
        <v>0</v>
      </c>
      <c r="P29" s="328"/>
      <c r="Q29" s="327">
        <v>0</v>
      </c>
      <c r="R29" s="328"/>
      <c r="S29" s="327">
        <v>0</v>
      </c>
      <c r="T29" s="328"/>
      <c r="U29" s="330">
        <f t="shared" ref="U29:U38" si="13">ROUND(SUM(O29:S29),5)</f>
        <v>0</v>
      </c>
      <c r="V29" s="328"/>
      <c r="W29" s="327">
        <v>0</v>
      </c>
      <c r="X29" s="328"/>
      <c r="Y29" s="327">
        <v>0</v>
      </c>
      <c r="Z29" s="328"/>
      <c r="AA29" s="327">
        <v>0</v>
      </c>
      <c r="AB29" s="328"/>
      <c r="AC29" s="327">
        <v>0</v>
      </c>
      <c r="AD29" s="328"/>
      <c r="AE29" s="327">
        <v>0</v>
      </c>
      <c r="AF29" s="328"/>
      <c r="AG29" s="331">
        <f t="shared" ref="AG29:AG38" si="14">ROUND(SUM(AA29:AE29),5)</f>
        <v>0</v>
      </c>
      <c r="AH29" s="328"/>
      <c r="AI29" s="327">
        <v>0</v>
      </c>
      <c r="AJ29" s="328"/>
      <c r="AK29" s="327">
        <v>0</v>
      </c>
      <c r="AL29" s="328"/>
      <c r="AM29" s="327">
        <v>0</v>
      </c>
      <c r="AN29" s="328"/>
      <c r="AO29" s="327">
        <v>0</v>
      </c>
      <c r="AP29" s="328"/>
      <c r="AQ29" s="327">
        <f t="shared" ref="AQ29:AQ38" si="15">ROUND(SUM(AI29:AO29),5)</f>
        <v>0</v>
      </c>
      <c r="AR29" s="328"/>
      <c r="AS29" s="327">
        <v>0</v>
      </c>
      <c r="AT29" s="328"/>
      <c r="AU29" s="327">
        <v>0</v>
      </c>
      <c r="AV29" s="328"/>
      <c r="AW29" s="327">
        <v>0</v>
      </c>
      <c r="AX29" s="328"/>
      <c r="AY29" s="327">
        <v>0</v>
      </c>
      <c r="AZ29" s="328"/>
      <c r="BA29" s="327">
        <v>0</v>
      </c>
      <c r="BB29" s="328"/>
      <c r="BC29" s="327">
        <v>0</v>
      </c>
      <c r="BD29" s="328"/>
      <c r="BE29" s="327">
        <v>0</v>
      </c>
      <c r="BF29" s="328"/>
      <c r="BG29" s="327">
        <v>0</v>
      </c>
      <c r="BH29" s="328"/>
      <c r="BI29" s="327">
        <v>0</v>
      </c>
      <c r="BJ29" s="328"/>
      <c r="BK29" s="327">
        <v>0</v>
      </c>
      <c r="BL29" s="328"/>
      <c r="BM29" s="327">
        <f t="shared" ref="BM29:BM38" si="16">ROUND(SUM(AU29:BK29),5)</f>
        <v>0</v>
      </c>
      <c r="BN29" s="328"/>
      <c r="BO29" s="327">
        <f t="shared" ref="BO29:BO38" si="17">ROUND(SUM(W29:Y29)+AG29+SUM(AQ29:AS29)+BM29,5)</f>
        <v>0</v>
      </c>
      <c r="BP29" s="328"/>
      <c r="BQ29" s="331">
        <v>0</v>
      </c>
      <c r="BR29" s="328"/>
      <c r="BS29" s="327">
        <v>0</v>
      </c>
      <c r="BT29" s="328"/>
      <c r="BU29" s="331">
        <v>0</v>
      </c>
      <c r="BV29" s="328"/>
      <c r="BW29" s="327">
        <v>0</v>
      </c>
      <c r="BX29" s="328"/>
      <c r="BY29" s="327">
        <v>0</v>
      </c>
      <c r="BZ29" s="328"/>
      <c r="CA29" s="331">
        <v>0</v>
      </c>
      <c r="CB29" s="328"/>
      <c r="CC29" s="331">
        <v>0</v>
      </c>
      <c r="CD29" s="328"/>
      <c r="CE29" s="327">
        <v>0</v>
      </c>
      <c r="CF29" s="328"/>
      <c r="CG29" s="327">
        <v>0</v>
      </c>
      <c r="CH29" s="328"/>
      <c r="CI29" s="327">
        <v>0</v>
      </c>
      <c r="CJ29" s="328"/>
      <c r="CK29" s="327">
        <v>0</v>
      </c>
      <c r="CL29" s="328"/>
      <c r="CM29" s="332">
        <f t="shared" ref="CM29:CM38" si="18">ROUND(SUM(CE29:CK29),5)</f>
        <v>0</v>
      </c>
      <c r="CN29" s="328"/>
      <c r="CO29" s="331">
        <v>0</v>
      </c>
      <c r="CP29" s="328"/>
      <c r="CQ29" s="327">
        <v>0</v>
      </c>
      <c r="CR29" s="328"/>
      <c r="CS29" s="327">
        <f t="shared" ref="CS29:CS38" si="19">ROUND(SUM(BQ29:CC29)+SUM(CM29:CQ29),5)</f>
        <v>0</v>
      </c>
      <c r="CT29" s="328"/>
      <c r="CU29" s="327">
        <f t="shared" ref="CU29:CU38" si="20">ROUND(BO29+CS29,5)</f>
        <v>0</v>
      </c>
      <c r="CV29" s="328"/>
      <c r="CW29" s="329">
        <v>0</v>
      </c>
      <c r="CX29" s="328"/>
      <c r="CY29" s="358">
        <f t="shared" ref="CY29:CY38" si="21">ROUND(M29+U29+SUM(CU29:CW29),5)</f>
        <v>9620</v>
      </c>
      <c r="DA29" s="344">
        <f t="shared" si="10"/>
        <v>0</v>
      </c>
      <c r="DB29" s="344"/>
      <c r="DC29" s="344">
        <f t="shared" si="11"/>
        <v>0</v>
      </c>
    </row>
    <row r="30" spans="1:111" x14ac:dyDescent="0.3">
      <c r="A30" s="326"/>
      <c r="B30" s="326"/>
      <c r="C30" s="326"/>
      <c r="D30" s="326"/>
      <c r="E30" s="326"/>
      <c r="F30" s="326"/>
      <c r="G30" s="326"/>
      <c r="H30" s="326" t="s">
        <v>635</v>
      </c>
      <c r="I30" s="327">
        <v>0</v>
      </c>
      <c r="J30" s="328"/>
      <c r="K30" s="327">
        <v>96700.6</v>
      </c>
      <c r="L30" s="328"/>
      <c r="M30" s="329">
        <f t="shared" si="12"/>
        <v>96700.6</v>
      </c>
      <c r="N30" s="328"/>
      <c r="O30" s="327">
        <v>0</v>
      </c>
      <c r="P30" s="328"/>
      <c r="Q30" s="327">
        <v>0</v>
      </c>
      <c r="R30" s="328"/>
      <c r="S30" s="327">
        <v>32581.58</v>
      </c>
      <c r="T30" s="328"/>
      <c r="U30" s="330">
        <f t="shared" si="13"/>
        <v>32581.58</v>
      </c>
      <c r="V30" s="328"/>
      <c r="W30" s="327">
        <v>0</v>
      </c>
      <c r="X30" s="328"/>
      <c r="Y30" s="327">
        <v>0</v>
      </c>
      <c r="Z30" s="328"/>
      <c r="AA30" s="327">
        <v>0</v>
      </c>
      <c r="AB30" s="328"/>
      <c r="AC30" s="327">
        <v>0</v>
      </c>
      <c r="AD30" s="328"/>
      <c r="AE30" s="327">
        <v>0</v>
      </c>
      <c r="AF30" s="328"/>
      <c r="AG30" s="331">
        <f t="shared" si="14"/>
        <v>0</v>
      </c>
      <c r="AH30" s="328"/>
      <c r="AI30" s="327">
        <v>0</v>
      </c>
      <c r="AJ30" s="328"/>
      <c r="AK30" s="327">
        <v>0</v>
      </c>
      <c r="AL30" s="328"/>
      <c r="AM30" s="327">
        <v>0</v>
      </c>
      <c r="AN30" s="328"/>
      <c r="AO30" s="327">
        <v>0</v>
      </c>
      <c r="AP30" s="328"/>
      <c r="AQ30" s="327">
        <f t="shared" si="15"/>
        <v>0</v>
      </c>
      <c r="AR30" s="328"/>
      <c r="AS30" s="327">
        <v>0</v>
      </c>
      <c r="AT30" s="328"/>
      <c r="AU30" s="327">
        <v>0</v>
      </c>
      <c r="AV30" s="328"/>
      <c r="AW30" s="327">
        <v>0</v>
      </c>
      <c r="AX30" s="328"/>
      <c r="AY30" s="327">
        <v>163</v>
      </c>
      <c r="AZ30" s="328"/>
      <c r="BA30" s="327">
        <v>0</v>
      </c>
      <c r="BB30" s="328"/>
      <c r="BC30" s="327">
        <v>0</v>
      </c>
      <c r="BD30" s="328"/>
      <c r="BE30" s="327">
        <v>0</v>
      </c>
      <c r="BF30" s="328"/>
      <c r="BG30" s="327">
        <v>0</v>
      </c>
      <c r="BH30" s="328"/>
      <c r="BI30" s="327">
        <v>0</v>
      </c>
      <c r="BJ30" s="328"/>
      <c r="BK30" s="327">
        <v>0</v>
      </c>
      <c r="BL30" s="328"/>
      <c r="BM30" s="327">
        <f t="shared" si="16"/>
        <v>163</v>
      </c>
      <c r="BN30" s="328"/>
      <c r="BO30" s="327">
        <f t="shared" si="17"/>
        <v>163</v>
      </c>
      <c r="BP30" s="328"/>
      <c r="BQ30" s="331">
        <v>4870.28</v>
      </c>
      <c r="BR30" s="328"/>
      <c r="BS30" s="327">
        <v>0</v>
      </c>
      <c r="BT30" s="328"/>
      <c r="BU30" s="331">
        <v>0</v>
      </c>
      <c r="BV30" s="328"/>
      <c r="BW30" s="327">
        <v>24113.75</v>
      </c>
      <c r="BX30" s="328"/>
      <c r="BY30" s="327">
        <v>0</v>
      </c>
      <c r="BZ30" s="328"/>
      <c r="CA30" s="331">
        <v>0</v>
      </c>
      <c r="CB30" s="328"/>
      <c r="CC30" s="331">
        <v>0</v>
      </c>
      <c r="CD30" s="328"/>
      <c r="CE30" s="327">
        <v>0</v>
      </c>
      <c r="CF30" s="328"/>
      <c r="CG30" s="327">
        <v>0</v>
      </c>
      <c r="CH30" s="328"/>
      <c r="CI30" s="327">
        <v>0</v>
      </c>
      <c r="CJ30" s="328"/>
      <c r="CK30" s="327">
        <v>2335.5</v>
      </c>
      <c r="CL30" s="328"/>
      <c r="CM30" s="332">
        <f t="shared" si="18"/>
        <v>2335.5</v>
      </c>
      <c r="CN30" s="328"/>
      <c r="CO30" s="331">
        <v>400</v>
      </c>
      <c r="CP30" s="328"/>
      <c r="CQ30" s="327">
        <v>0</v>
      </c>
      <c r="CR30" s="328"/>
      <c r="CS30" s="327">
        <f t="shared" si="19"/>
        <v>31719.53</v>
      </c>
      <c r="CT30" s="328"/>
      <c r="CU30" s="327">
        <f t="shared" si="20"/>
        <v>31882.53</v>
      </c>
      <c r="CV30" s="328"/>
      <c r="CW30" s="329">
        <v>0</v>
      </c>
      <c r="CX30" s="328"/>
      <c r="CY30" s="358">
        <f t="shared" si="21"/>
        <v>161164.71</v>
      </c>
      <c r="DA30" s="344">
        <f t="shared" si="10"/>
        <v>5270.28</v>
      </c>
      <c r="DB30" s="344"/>
      <c r="DC30" s="344">
        <f t="shared" si="11"/>
        <v>24276.75</v>
      </c>
    </row>
    <row r="31" spans="1:111" x14ac:dyDescent="0.3">
      <c r="A31" s="326"/>
      <c r="B31" s="326"/>
      <c r="C31" s="326"/>
      <c r="D31" s="326"/>
      <c r="E31" s="326"/>
      <c r="F31" s="326"/>
      <c r="G31" s="326"/>
      <c r="H31" s="326" t="s">
        <v>636</v>
      </c>
      <c r="I31" s="327">
        <v>0</v>
      </c>
      <c r="J31" s="328"/>
      <c r="K31" s="327">
        <v>3780</v>
      </c>
      <c r="L31" s="328"/>
      <c r="M31" s="329">
        <f t="shared" si="12"/>
        <v>3780</v>
      </c>
      <c r="N31" s="328"/>
      <c r="O31" s="327">
        <v>0</v>
      </c>
      <c r="P31" s="328"/>
      <c r="Q31" s="327">
        <v>0</v>
      </c>
      <c r="R31" s="328"/>
      <c r="S31" s="327">
        <v>0</v>
      </c>
      <c r="T31" s="328"/>
      <c r="U31" s="330">
        <f t="shared" si="13"/>
        <v>0</v>
      </c>
      <c r="V31" s="328"/>
      <c r="W31" s="327">
        <v>0</v>
      </c>
      <c r="X31" s="328"/>
      <c r="Y31" s="327">
        <v>0</v>
      </c>
      <c r="Z31" s="328"/>
      <c r="AA31" s="327">
        <v>0</v>
      </c>
      <c r="AB31" s="328"/>
      <c r="AC31" s="327">
        <v>0</v>
      </c>
      <c r="AD31" s="328"/>
      <c r="AE31" s="327">
        <v>0</v>
      </c>
      <c r="AF31" s="328"/>
      <c r="AG31" s="331">
        <f t="shared" si="14"/>
        <v>0</v>
      </c>
      <c r="AH31" s="328"/>
      <c r="AI31" s="327">
        <v>0</v>
      </c>
      <c r="AJ31" s="328"/>
      <c r="AK31" s="327">
        <v>0</v>
      </c>
      <c r="AL31" s="328"/>
      <c r="AM31" s="327">
        <v>0</v>
      </c>
      <c r="AN31" s="328"/>
      <c r="AO31" s="327">
        <v>0</v>
      </c>
      <c r="AP31" s="328"/>
      <c r="AQ31" s="327">
        <f t="shared" si="15"/>
        <v>0</v>
      </c>
      <c r="AR31" s="328"/>
      <c r="AS31" s="327">
        <v>0</v>
      </c>
      <c r="AT31" s="328"/>
      <c r="AU31" s="327">
        <v>0</v>
      </c>
      <c r="AV31" s="328"/>
      <c r="AW31" s="327">
        <v>0</v>
      </c>
      <c r="AX31" s="328"/>
      <c r="AY31" s="327">
        <v>0</v>
      </c>
      <c r="AZ31" s="328"/>
      <c r="BA31" s="327">
        <v>0</v>
      </c>
      <c r="BB31" s="328"/>
      <c r="BC31" s="327">
        <v>0</v>
      </c>
      <c r="BD31" s="328"/>
      <c r="BE31" s="327">
        <v>0</v>
      </c>
      <c r="BF31" s="328"/>
      <c r="BG31" s="327">
        <v>0</v>
      </c>
      <c r="BH31" s="328"/>
      <c r="BI31" s="327">
        <v>0</v>
      </c>
      <c r="BJ31" s="328"/>
      <c r="BK31" s="327">
        <v>0</v>
      </c>
      <c r="BL31" s="328"/>
      <c r="BM31" s="327">
        <f t="shared" si="16"/>
        <v>0</v>
      </c>
      <c r="BN31" s="328"/>
      <c r="BO31" s="327">
        <f t="shared" si="17"/>
        <v>0</v>
      </c>
      <c r="BP31" s="328"/>
      <c r="BQ31" s="331">
        <v>60482.5</v>
      </c>
      <c r="BR31" s="328"/>
      <c r="BS31" s="327">
        <v>0</v>
      </c>
      <c r="BT31" s="328"/>
      <c r="BU31" s="331">
        <v>0</v>
      </c>
      <c r="BV31" s="328"/>
      <c r="BW31" s="327">
        <v>0</v>
      </c>
      <c r="BX31" s="328"/>
      <c r="BY31" s="327">
        <v>0</v>
      </c>
      <c r="BZ31" s="328"/>
      <c r="CA31" s="331">
        <v>0</v>
      </c>
      <c r="CB31" s="328"/>
      <c r="CC31" s="331">
        <v>0</v>
      </c>
      <c r="CD31" s="328"/>
      <c r="CE31" s="327">
        <v>0</v>
      </c>
      <c r="CF31" s="328"/>
      <c r="CG31" s="327">
        <v>0</v>
      </c>
      <c r="CH31" s="328"/>
      <c r="CI31" s="327">
        <v>0</v>
      </c>
      <c r="CJ31" s="328"/>
      <c r="CK31" s="327">
        <v>0</v>
      </c>
      <c r="CL31" s="328"/>
      <c r="CM31" s="332">
        <f t="shared" si="18"/>
        <v>0</v>
      </c>
      <c r="CN31" s="328"/>
      <c r="CO31" s="331">
        <v>0</v>
      </c>
      <c r="CP31" s="328"/>
      <c r="CQ31" s="327">
        <v>0</v>
      </c>
      <c r="CR31" s="328"/>
      <c r="CS31" s="327">
        <f t="shared" si="19"/>
        <v>60482.5</v>
      </c>
      <c r="CT31" s="328"/>
      <c r="CU31" s="327">
        <f t="shared" si="20"/>
        <v>60482.5</v>
      </c>
      <c r="CV31" s="328"/>
      <c r="CW31" s="329">
        <v>0</v>
      </c>
      <c r="CX31" s="328"/>
      <c r="CY31" s="358">
        <f t="shared" si="21"/>
        <v>64262.5</v>
      </c>
      <c r="DA31" s="344">
        <f t="shared" si="10"/>
        <v>60482.5</v>
      </c>
      <c r="DB31" s="344"/>
      <c r="DC31" s="344">
        <f t="shared" si="11"/>
        <v>0</v>
      </c>
    </row>
    <row r="32" spans="1:111" x14ac:dyDescent="0.3">
      <c r="A32" s="326"/>
      <c r="B32" s="326"/>
      <c r="C32" s="326"/>
      <c r="D32" s="326"/>
      <c r="E32" s="326"/>
      <c r="F32" s="326"/>
      <c r="G32" s="326"/>
      <c r="H32" s="326" t="s">
        <v>637</v>
      </c>
      <c r="I32" s="327">
        <v>0</v>
      </c>
      <c r="J32" s="328"/>
      <c r="K32" s="327">
        <v>257245</v>
      </c>
      <c r="L32" s="328"/>
      <c r="M32" s="329">
        <f t="shared" si="12"/>
        <v>257245</v>
      </c>
      <c r="N32" s="328"/>
      <c r="O32" s="327">
        <v>0</v>
      </c>
      <c r="P32" s="328"/>
      <c r="Q32" s="327">
        <v>0</v>
      </c>
      <c r="R32" s="328"/>
      <c r="S32" s="327">
        <v>0</v>
      </c>
      <c r="T32" s="328"/>
      <c r="U32" s="330">
        <f t="shared" si="13"/>
        <v>0</v>
      </c>
      <c r="V32" s="328"/>
      <c r="W32" s="327">
        <v>0</v>
      </c>
      <c r="X32" s="328"/>
      <c r="Y32" s="327">
        <v>0</v>
      </c>
      <c r="Z32" s="328"/>
      <c r="AA32" s="327">
        <v>0</v>
      </c>
      <c r="AB32" s="328"/>
      <c r="AC32" s="327">
        <v>0</v>
      </c>
      <c r="AD32" s="328"/>
      <c r="AE32" s="327">
        <v>0</v>
      </c>
      <c r="AF32" s="328"/>
      <c r="AG32" s="331">
        <f t="shared" si="14"/>
        <v>0</v>
      </c>
      <c r="AH32" s="328"/>
      <c r="AI32" s="327">
        <v>0</v>
      </c>
      <c r="AJ32" s="328"/>
      <c r="AK32" s="327">
        <v>0</v>
      </c>
      <c r="AL32" s="328"/>
      <c r="AM32" s="327">
        <v>0</v>
      </c>
      <c r="AN32" s="328"/>
      <c r="AO32" s="327">
        <v>0</v>
      </c>
      <c r="AP32" s="328"/>
      <c r="AQ32" s="327">
        <f t="shared" si="15"/>
        <v>0</v>
      </c>
      <c r="AR32" s="328"/>
      <c r="AS32" s="327">
        <v>0</v>
      </c>
      <c r="AT32" s="328"/>
      <c r="AU32" s="327">
        <v>0</v>
      </c>
      <c r="AV32" s="328"/>
      <c r="AW32" s="327">
        <v>0</v>
      </c>
      <c r="AX32" s="328"/>
      <c r="AY32" s="327">
        <v>0</v>
      </c>
      <c r="AZ32" s="328"/>
      <c r="BA32" s="327">
        <v>0</v>
      </c>
      <c r="BB32" s="328"/>
      <c r="BC32" s="327">
        <v>0</v>
      </c>
      <c r="BD32" s="328"/>
      <c r="BE32" s="327">
        <v>0</v>
      </c>
      <c r="BF32" s="328"/>
      <c r="BG32" s="327">
        <v>0</v>
      </c>
      <c r="BH32" s="328"/>
      <c r="BI32" s="327">
        <v>0</v>
      </c>
      <c r="BJ32" s="328"/>
      <c r="BK32" s="327">
        <v>0</v>
      </c>
      <c r="BL32" s="328"/>
      <c r="BM32" s="327">
        <f t="shared" si="16"/>
        <v>0</v>
      </c>
      <c r="BN32" s="328"/>
      <c r="BO32" s="327">
        <f t="shared" si="17"/>
        <v>0</v>
      </c>
      <c r="BP32" s="328"/>
      <c r="BQ32" s="331">
        <v>0</v>
      </c>
      <c r="BR32" s="328"/>
      <c r="BS32" s="327">
        <v>0</v>
      </c>
      <c r="BT32" s="328"/>
      <c r="BU32" s="331">
        <v>0</v>
      </c>
      <c r="BV32" s="328"/>
      <c r="BW32" s="327">
        <v>0</v>
      </c>
      <c r="BX32" s="328"/>
      <c r="BY32" s="327">
        <v>0</v>
      </c>
      <c r="BZ32" s="328"/>
      <c r="CA32" s="331">
        <v>0</v>
      </c>
      <c r="CB32" s="328"/>
      <c r="CC32" s="331">
        <v>0</v>
      </c>
      <c r="CD32" s="328"/>
      <c r="CE32" s="327">
        <v>0</v>
      </c>
      <c r="CF32" s="328"/>
      <c r="CG32" s="327">
        <v>0</v>
      </c>
      <c r="CH32" s="328"/>
      <c r="CI32" s="327">
        <v>0</v>
      </c>
      <c r="CJ32" s="328"/>
      <c r="CK32" s="327">
        <v>0</v>
      </c>
      <c r="CL32" s="328"/>
      <c r="CM32" s="332">
        <f t="shared" si="18"/>
        <v>0</v>
      </c>
      <c r="CN32" s="328"/>
      <c r="CO32" s="331">
        <v>0</v>
      </c>
      <c r="CP32" s="328"/>
      <c r="CQ32" s="327">
        <v>0</v>
      </c>
      <c r="CR32" s="328"/>
      <c r="CS32" s="327">
        <f t="shared" si="19"/>
        <v>0</v>
      </c>
      <c r="CT32" s="328"/>
      <c r="CU32" s="327">
        <f t="shared" si="20"/>
        <v>0</v>
      </c>
      <c r="CV32" s="328"/>
      <c r="CW32" s="329">
        <v>0</v>
      </c>
      <c r="CX32" s="328"/>
      <c r="CY32" s="358">
        <f t="shared" si="21"/>
        <v>257245</v>
      </c>
      <c r="DA32" s="344">
        <f t="shared" si="10"/>
        <v>0</v>
      </c>
      <c r="DB32" s="344"/>
      <c r="DC32" s="344">
        <f t="shared" si="11"/>
        <v>0</v>
      </c>
    </row>
    <row r="33" spans="1:107" ht="15" thickBot="1" x14ac:dyDescent="0.35">
      <c r="A33" s="326"/>
      <c r="B33" s="326"/>
      <c r="C33" s="326"/>
      <c r="D33" s="326"/>
      <c r="E33" s="326"/>
      <c r="F33" s="326"/>
      <c r="G33" s="326"/>
      <c r="H33" s="326" t="s">
        <v>638</v>
      </c>
      <c r="I33" s="339">
        <v>0</v>
      </c>
      <c r="J33" s="328"/>
      <c r="K33" s="339">
        <v>-12372</v>
      </c>
      <c r="L33" s="328"/>
      <c r="M33" s="340">
        <f t="shared" si="12"/>
        <v>-12372</v>
      </c>
      <c r="N33" s="328"/>
      <c r="O33" s="339">
        <v>0</v>
      </c>
      <c r="P33" s="328"/>
      <c r="Q33" s="339">
        <v>0</v>
      </c>
      <c r="R33" s="328"/>
      <c r="S33" s="339">
        <v>0</v>
      </c>
      <c r="T33" s="328"/>
      <c r="U33" s="341">
        <f t="shared" si="13"/>
        <v>0</v>
      </c>
      <c r="V33" s="328"/>
      <c r="W33" s="339">
        <v>0</v>
      </c>
      <c r="X33" s="328"/>
      <c r="Y33" s="339">
        <v>0</v>
      </c>
      <c r="Z33" s="328"/>
      <c r="AA33" s="339">
        <v>0</v>
      </c>
      <c r="AB33" s="328"/>
      <c r="AC33" s="339">
        <v>0</v>
      </c>
      <c r="AD33" s="328"/>
      <c r="AE33" s="339">
        <v>0</v>
      </c>
      <c r="AF33" s="328"/>
      <c r="AG33" s="342">
        <f t="shared" si="14"/>
        <v>0</v>
      </c>
      <c r="AH33" s="328"/>
      <c r="AI33" s="339">
        <v>0</v>
      </c>
      <c r="AJ33" s="328"/>
      <c r="AK33" s="339">
        <v>0</v>
      </c>
      <c r="AL33" s="328"/>
      <c r="AM33" s="339">
        <v>0</v>
      </c>
      <c r="AN33" s="328"/>
      <c r="AO33" s="339">
        <v>0</v>
      </c>
      <c r="AP33" s="328"/>
      <c r="AQ33" s="339">
        <f t="shared" si="15"/>
        <v>0</v>
      </c>
      <c r="AR33" s="328"/>
      <c r="AS33" s="339">
        <v>0</v>
      </c>
      <c r="AT33" s="328"/>
      <c r="AU33" s="339">
        <v>0</v>
      </c>
      <c r="AV33" s="328"/>
      <c r="AW33" s="339">
        <v>0</v>
      </c>
      <c r="AX33" s="328"/>
      <c r="AY33" s="339">
        <v>0</v>
      </c>
      <c r="AZ33" s="328"/>
      <c r="BA33" s="339">
        <v>0</v>
      </c>
      <c r="BB33" s="328"/>
      <c r="BC33" s="339">
        <v>0</v>
      </c>
      <c r="BD33" s="328"/>
      <c r="BE33" s="339">
        <v>0</v>
      </c>
      <c r="BF33" s="328"/>
      <c r="BG33" s="339">
        <v>0</v>
      </c>
      <c r="BH33" s="328"/>
      <c r="BI33" s="339">
        <v>0</v>
      </c>
      <c r="BJ33" s="328"/>
      <c r="BK33" s="339">
        <v>0</v>
      </c>
      <c r="BL33" s="328"/>
      <c r="BM33" s="339">
        <f t="shared" si="16"/>
        <v>0</v>
      </c>
      <c r="BN33" s="328"/>
      <c r="BO33" s="339">
        <f t="shared" si="17"/>
        <v>0</v>
      </c>
      <c r="BP33" s="328"/>
      <c r="BQ33" s="342">
        <v>12372</v>
      </c>
      <c r="BR33" s="328"/>
      <c r="BS33" s="339">
        <v>0</v>
      </c>
      <c r="BT33" s="328"/>
      <c r="BU33" s="342">
        <v>0</v>
      </c>
      <c r="BV33" s="328"/>
      <c r="BW33" s="339">
        <v>0</v>
      </c>
      <c r="BX33" s="328"/>
      <c r="BY33" s="339">
        <v>0</v>
      </c>
      <c r="BZ33" s="328"/>
      <c r="CA33" s="342">
        <v>0</v>
      </c>
      <c r="CB33" s="328"/>
      <c r="CC33" s="342">
        <v>0</v>
      </c>
      <c r="CD33" s="328"/>
      <c r="CE33" s="339">
        <v>0</v>
      </c>
      <c r="CF33" s="328"/>
      <c r="CG33" s="339">
        <v>0</v>
      </c>
      <c r="CH33" s="328"/>
      <c r="CI33" s="339">
        <v>0</v>
      </c>
      <c r="CJ33" s="328"/>
      <c r="CK33" s="339">
        <v>0</v>
      </c>
      <c r="CL33" s="328"/>
      <c r="CM33" s="343">
        <f t="shared" si="18"/>
        <v>0</v>
      </c>
      <c r="CN33" s="328"/>
      <c r="CO33" s="342">
        <v>0</v>
      </c>
      <c r="CP33" s="328"/>
      <c r="CQ33" s="339">
        <v>0</v>
      </c>
      <c r="CR33" s="328"/>
      <c r="CS33" s="339">
        <f t="shared" si="19"/>
        <v>12372</v>
      </c>
      <c r="CT33" s="328"/>
      <c r="CU33" s="339">
        <f t="shared" si="20"/>
        <v>12372</v>
      </c>
      <c r="CV33" s="328"/>
      <c r="CW33" s="340">
        <v>0</v>
      </c>
      <c r="CX33" s="328"/>
      <c r="CY33" s="357">
        <f t="shared" si="21"/>
        <v>0</v>
      </c>
      <c r="DA33" s="344">
        <f t="shared" si="10"/>
        <v>12372</v>
      </c>
      <c r="DB33" s="344"/>
      <c r="DC33" s="344">
        <f t="shared" si="11"/>
        <v>0</v>
      </c>
    </row>
    <row r="34" spans="1:107" x14ac:dyDescent="0.3">
      <c r="A34" s="326"/>
      <c r="B34" s="326"/>
      <c r="C34" s="326"/>
      <c r="D34" s="326"/>
      <c r="E34" s="326"/>
      <c r="F34" s="326"/>
      <c r="G34" s="326" t="s">
        <v>639</v>
      </c>
      <c r="H34" s="326"/>
      <c r="I34" s="327">
        <f>ROUND(SUM(I28:I33),5)</f>
        <v>0</v>
      </c>
      <c r="J34" s="328"/>
      <c r="K34" s="327">
        <f>ROUND(SUM(K28:K33),5)</f>
        <v>354973.6</v>
      </c>
      <c r="L34" s="328"/>
      <c r="M34" s="329">
        <f t="shared" si="12"/>
        <v>354973.6</v>
      </c>
      <c r="N34" s="328"/>
      <c r="O34" s="327">
        <f>ROUND(SUM(O28:O33),5)</f>
        <v>0</v>
      </c>
      <c r="P34" s="328"/>
      <c r="Q34" s="327">
        <f>ROUND(SUM(Q28:Q33),5)</f>
        <v>0</v>
      </c>
      <c r="R34" s="328"/>
      <c r="S34" s="327">
        <f>ROUND(SUM(S28:S33),5)</f>
        <v>32581.58</v>
      </c>
      <c r="T34" s="328"/>
      <c r="U34" s="330">
        <f t="shared" si="13"/>
        <v>32581.58</v>
      </c>
      <c r="V34" s="328"/>
      <c r="W34" s="327">
        <f>ROUND(SUM(W28:W33),5)</f>
        <v>0</v>
      </c>
      <c r="X34" s="328"/>
      <c r="Y34" s="327">
        <f>ROUND(SUM(Y28:Y33),5)</f>
        <v>0</v>
      </c>
      <c r="Z34" s="328"/>
      <c r="AA34" s="327">
        <f>ROUND(SUM(AA28:AA33),5)</f>
        <v>0</v>
      </c>
      <c r="AB34" s="328"/>
      <c r="AC34" s="327">
        <f>ROUND(SUM(AC28:AC33),5)</f>
        <v>0</v>
      </c>
      <c r="AD34" s="328"/>
      <c r="AE34" s="327">
        <f>ROUND(SUM(AE28:AE33),5)</f>
        <v>0</v>
      </c>
      <c r="AF34" s="328"/>
      <c r="AG34" s="331">
        <f t="shared" si="14"/>
        <v>0</v>
      </c>
      <c r="AH34" s="328"/>
      <c r="AI34" s="327">
        <f>ROUND(SUM(AI28:AI33),5)</f>
        <v>0</v>
      </c>
      <c r="AJ34" s="328"/>
      <c r="AK34" s="327">
        <f>ROUND(SUM(AK28:AK33),5)</f>
        <v>0</v>
      </c>
      <c r="AL34" s="328"/>
      <c r="AM34" s="327">
        <f>ROUND(SUM(AM28:AM33),5)</f>
        <v>0</v>
      </c>
      <c r="AN34" s="328"/>
      <c r="AO34" s="327">
        <f>ROUND(SUM(AO28:AO33),5)</f>
        <v>0</v>
      </c>
      <c r="AP34" s="328"/>
      <c r="AQ34" s="327">
        <f t="shared" si="15"/>
        <v>0</v>
      </c>
      <c r="AR34" s="328"/>
      <c r="AS34" s="327">
        <f>ROUND(SUM(AS28:AS33),5)</f>
        <v>0</v>
      </c>
      <c r="AT34" s="328"/>
      <c r="AU34" s="327">
        <f>ROUND(SUM(AU28:AU33),5)</f>
        <v>0</v>
      </c>
      <c r="AV34" s="328"/>
      <c r="AW34" s="327">
        <f>ROUND(SUM(AW28:AW33),5)</f>
        <v>0</v>
      </c>
      <c r="AX34" s="328"/>
      <c r="AY34" s="327">
        <f>ROUND(SUM(AY28:AY33),5)</f>
        <v>163</v>
      </c>
      <c r="AZ34" s="328"/>
      <c r="BA34" s="327">
        <f>ROUND(SUM(BA28:BA33),5)</f>
        <v>0</v>
      </c>
      <c r="BB34" s="328"/>
      <c r="BC34" s="327">
        <f>ROUND(SUM(BC28:BC33),5)</f>
        <v>0</v>
      </c>
      <c r="BD34" s="328"/>
      <c r="BE34" s="327">
        <f>ROUND(SUM(BE28:BE33),5)</f>
        <v>0</v>
      </c>
      <c r="BF34" s="328"/>
      <c r="BG34" s="327">
        <f>ROUND(SUM(BG28:BG33),5)</f>
        <v>0</v>
      </c>
      <c r="BH34" s="328"/>
      <c r="BI34" s="327">
        <f>ROUND(SUM(BI28:BI33),5)</f>
        <v>0</v>
      </c>
      <c r="BJ34" s="328"/>
      <c r="BK34" s="327">
        <f>ROUND(SUM(BK28:BK33),5)</f>
        <v>0</v>
      </c>
      <c r="BL34" s="328"/>
      <c r="BM34" s="327">
        <f t="shared" si="16"/>
        <v>163</v>
      </c>
      <c r="BN34" s="328"/>
      <c r="BO34" s="327">
        <f t="shared" si="17"/>
        <v>163</v>
      </c>
      <c r="BP34" s="328"/>
      <c r="BQ34" s="331">
        <f>ROUND(SUM(BQ28:BQ33),5)</f>
        <v>77724.78</v>
      </c>
      <c r="BR34" s="328"/>
      <c r="BS34" s="327">
        <f>ROUND(SUM(BS28:BS33),5)</f>
        <v>0</v>
      </c>
      <c r="BT34" s="328"/>
      <c r="BU34" s="331">
        <f>ROUND(SUM(BU28:BU33),5)</f>
        <v>0</v>
      </c>
      <c r="BV34" s="328"/>
      <c r="BW34" s="327">
        <f>ROUND(SUM(BW28:BW33),5)</f>
        <v>24113.75</v>
      </c>
      <c r="BX34" s="328"/>
      <c r="BY34" s="327">
        <f>ROUND(SUM(BY28:BY33),5)</f>
        <v>0</v>
      </c>
      <c r="BZ34" s="328"/>
      <c r="CA34" s="331">
        <f>ROUND(SUM(CA28:CA33),5)</f>
        <v>0</v>
      </c>
      <c r="CB34" s="328"/>
      <c r="CC34" s="331">
        <f>ROUND(SUM(CC28:CC33),5)</f>
        <v>0</v>
      </c>
      <c r="CD34" s="328"/>
      <c r="CE34" s="327">
        <f>ROUND(SUM(CE28:CE33),5)</f>
        <v>0</v>
      </c>
      <c r="CF34" s="328"/>
      <c r="CG34" s="327">
        <f>ROUND(SUM(CG28:CG33),5)</f>
        <v>0</v>
      </c>
      <c r="CH34" s="328"/>
      <c r="CI34" s="327">
        <f>ROUND(SUM(CI28:CI33),5)</f>
        <v>0</v>
      </c>
      <c r="CJ34" s="328"/>
      <c r="CK34" s="327">
        <f>ROUND(SUM(CK28:CK33),5)</f>
        <v>2335.5</v>
      </c>
      <c r="CL34" s="328"/>
      <c r="CM34" s="332">
        <f t="shared" si="18"/>
        <v>2335.5</v>
      </c>
      <c r="CN34" s="328"/>
      <c r="CO34" s="331">
        <f>ROUND(SUM(CO28:CO33),5)</f>
        <v>400</v>
      </c>
      <c r="CP34" s="328"/>
      <c r="CQ34" s="327">
        <f>ROUND(SUM(CQ28:CQ33),5)</f>
        <v>0</v>
      </c>
      <c r="CR34" s="328"/>
      <c r="CS34" s="327">
        <f t="shared" si="19"/>
        <v>104574.03</v>
      </c>
      <c r="CT34" s="328"/>
      <c r="CU34" s="327">
        <f t="shared" si="20"/>
        <v>104737.03</v>
      </c>
      <c r="CV34" s="328"/>
      <c r="CW34" s="329">
        <f>ROUND(SUM(CW28:CW33),5)</f>
        <v>0</v>
      </c>
      <c r="CX34" s="328"/>
      <c r="CY34" s="327">
        <f t="shared" si="21"/>
        <v>492292.21</v>
      </c>
      <c r="CZ34" s="333">
        <v>5</v>
      </c>
      <c r="DA34" s="344">
        <f t="shared" si="10"/>
        <v>78124.78</v>
      </c>
      <c r="DB34" s="344"/>
      <c r="DC34" s="344">
        <f t="shared" si="11"/>
        <v>24276.75</v>
      </c>
    </row>
    <row r="35" spans="1:107" x14ac:dyDescent="0.3">
      <c r="A35" s="326"/>
      <c r="B35" s="326"/>
      <c r="C35" s="326"/>
      <c r="D35" s="326"/>
      <c r="E35" s="326"/>
      <c r="F35" s="326"/>
      <c r="G35" s="326" t="s">
        <v>640</v>
      </c>
      <c r="H35" s="326"/>
      <c r="I35" s="327">
        <v>0</v>
      </c>
      <c r="J35" s="328"/>
      <c r="K35" s="327">
        <v>292.14</v>
      </c>
      <c r="L35" s="328"/>
      <c r="M35" s="329">
        <f t="shared" si="12"/>
        <v>292.14</v>
      </c>
      <c r="N35" s="328"/>
      <c r="O35" s="327">
        <v>0</v>
      </c>
      <c r="P35" s="328"/>
      <c r="Q35" s="327">
        <v>0</v>
      </c>
      <c r="R35" s="328"/>
      <c r="S35" s="327">
        <v>53.71</v>
      </c>
      <c r="T35" s="328"/>
      <c r="U35" s="330">
        <f t="shared" si="13"/>
        <v>53.71</v>
      </c>
      <c r="V35" s="328"/>
      <c r="W35" s="327">
        <v>0</v>
      </c>
      <c r="X35" s="328"/>
      <c r="Y35" s="327">
        <v>5928.39</v>
      </c>
      <c r="Z35" s="328"/>
      <c r="AA35" s="327">
        <v>594.13</v>
      </c>
      <c r="AB35" s="328"/>
      <c r="AC35" s="327">
        <v>0</v>
      </c>
      <c r="AD35" s="328"/>
      <c r="AE35" s="327">
        <v>0</v>
      </c>
      <c r="AF35" s="328"/>
      <c r="AG35" s="331">
        <f t="shared" si="14"/>
        <v>594.13</v>
      </c>
      <c r="AH35" s="328"/>
      <c r="AI35" s="327">
        <v>0</v>
      </c>
      <c r="AJ35" s="328"/>
      <c r="AK35" s="327">
        <v>0</v>
      </c>
      <c r="AL35" s="328"/>
      <c r="AM35" s="327">
        <v>0</v>
      </c>
      <c r="AN35" s="328"/>
      <c r="AO35" s="327">
        <v>0</v>
      </c>
      <c r="AP35" s="328"/>
      <c r="AQ35" s="327">
        <f t="shared" si="15"/>
        <v>0</v>
      </c>
      <c r="AR35" s="328"/>
      <c r="AS35" s="327">
        <v>0</v>
      </c>
      <c r="AT35" s="328"/>
      <c r="AU35" s="327">
        <v>0</v>
      </c>
      <c r="AV35" s="328"/>
      <c r="AW35" s="327">
        <v>417.07</v>
      </c>
      <c r="AX35" s="328"/>
      <c r="AY35" s="327">
        <v>0</v>
      </c>
      <c r="AZ35" s="328"/>
      <c r="BA35" s="327">
        <v>0</v>
      </c>
      <c r="BB35" s="328"/>
      <c r="BC35" s="327">
        <v>21.48</v>
      </c>
      <c r="BD35" s="328"/>
      <c r="BE35" s="327">
        <v>0</v>
      </c>
      <c r="BF35" s="328"/>
      <c r="BG35" s="327">
        <v>0</v>
      </c>
      <c r="BH35" s="328"/>
      <c r="BI35" s="327">
        <v>0</v>
      </c>
      <c r="BJ35" s="328"/>
      <c r="BK35" s="327">
        <v>0</v>
      </c>
      <c r="BL35" s="328"/>
      <c r="BM35" s="327">
        <f t="shared" si="16"/>
        <v>438.55</v>
      </c>
      <c r="BN35" s="328"/>
      <c r="BO35" s="327">
        <f t="shared" si="17"/>
        <v>6961.07</v>
      </c>
      <c r="BP35" s="328"/>
      <c r="BQ35" s="331">
        <v>4889.28</v>
      </c>
      <c r="BR35" s="328"/>
      <c r="BS35" s="327">
        <v>0</v>
      </c>
      <c r="BT35" s="328"/>
      <c r="BU35" s="331">
        <v>0</v>
      </c>
      <c r="BV35" s="328"/>
      <c r="BW35" s="327">
        <v>1220.93</v>
      </c>
      <c r="BX35" s="328"/>
      <c r="BY35" s="327">
        <v>0</v>
      </c>
      <c r="BZ35" s="328"/>
      <c r="CA35" s="331">
        <v>2276.59</v>
      </c>
      <c r="CB35" s="328"/>
      <c r="CC35" s="331">
        <v>0</v>
      </c>
      <c r="CD35" s="328"/>
      <c r="CE35" s="327">
        <v>0</v>
      </c>
      <c r="CF35" s="328"/>
      <c r="CG35" s="327">
        <v>0</v>
      </c>
      <c r="CH35" s="328"/>
      <c r="CI35" s="327">
        <v>75.62</v>
      </c>
      <c r="CJ35" s="328"/>
      <c r="CK35" s="327">
        <v>107.27</v>
      </c>
      <c r="CL35" s="328"/>
      <c r="CM35" s="332">
        <f t="shared" si="18"/>
        <v>182.89</v>
      </c>
      <c r="CN35" s="328"/>
      <c r="CO35" s="331">
        <v>0</v>
      </c>
      <c r="CP35" s="328"/>
      <c r="CQ35" s="327">
        <v>0</v>
      </c>
      <c r="CR35" s="328"/>
      <c r="CS35" s="327">
        <f t="shared" si="19"/>
        <v>8569.69</v>
      </c>
      <c r="CT35" s="328"/>
      <c r="CU35" s="327">
        <f t="shared" si="20"/>
        <v>15530.76</v>
      </c>
      <c r="CV35" s="328"/>
      <c r="CW35" s="329">
        <v>0</v>
      </c>
      <c r="CX35" s="328"/>
      <c r="CY35" s="327">
        <f t="shared" si="21"/>
        <v>15876.61</v>
      </c>
      <c r="CZ35" s="333">
        <v>10</v>
      </c>
      <c r="DA35" s="344">
        <f t="shared" si="10"/>
        <v>7760</v>
      </c>
      <c r="DB35" s="344"/>
      <c r="DC35" s="344">
        <f t="shared" si="11"/>
        <v>7587.8700000000008</v>
      </c>
    </row>
    <row r="36" spans="1:107" x14ac:dyDescent="0.3">
      <c r="A36" s="326"/>
      <c r="B36" s="326"/>
      <c r="C36" s="326"/>
      <c r="D36" s="326"/>
      <c r="E36" s="326"/>
      <c r="F36" s="326"/>
      <c r="G36" s="326" t="s">
        <v>641</v>
      </c>
      <c r="H36" s="326"/>
      <c r="I36" s="327">
        <v>0</v>
      </c>
      <c r="J36" s="328"/>
      <c r="K36" s="327">
        <v>2706.6</v>
      </c>
      <c r="L36" s="328"/>
      <c r="M36" s="329">
        <f t="shared" si="12"/>
        <v>2706.6</v>
      </c>
      <c r="N36" s="328"/>
      <c r="O36" s="327">
        <v>0</v>
      </c>
      <c r="P36" s="328"/>
      <c r="Q36" s="327">
        <v>0</v>
      </c>
      <c r="R36" s="328"/>
      <c r="S36" s="327">
        <v>0</v>
      </c>
      <c r="T36" s="328"/>
      <c r="U36" s="330">
        <f t="shared" si="13"/>
        <v>0</v>
      </c>
      <c r="V36" s="328"/>
      <c r="W36" s="327">
        <v>0</v>
      </c>
      <c r="X36" s="328"/>
      <c r="Y36" s="327">
        <v>0</v>
      </c>
      <c r="Z36" s="328"/>
      <c r="AA36" s="327">
        <v>0</v>
      </c>
      <c r="AB36" s="328"/>
      <c r="AC36" s="327">
        <v>0</v>
      </c>
      <c r="AD36" s="328"/>
      <c r="AE36" s="327">
        <v>0</v>
      </c>
      <c r="AF36" s="328"/>
      <c r="AG36" s="331">
        <f t="shared" si="14"/>
        <v>0</v>
      </c>
      <c r="AH36" s="328"/>
      <c r="AI36" s="327">
        <v>0</v>
      </c>
      <c r="AJ36" s="328"/>
      <c r="AK36" s="327">
        <v>0</v>
      </c>
      <c r="AL36" s="328"/>
      <c r="AM36" s="327">
        <v>0</v>
      </c>
      <c r="AN36" s="328"/>
      <c r="AO36" s="327">
        <v>0</v>
      </c>
      <c r="AP36" s="328"/>
      <c r="AQ36" s="327">
        <f t="shared" si="15"/>
        <v>0</v>
      </c>
      <c r="AR36" s="328"/>
      <c r="AS36" s="327">
        <v>0</v>
      </c>
      <c r="AT36" s="328"/>
      <c r="AU36" s="327">
        <v>0</v>
      </c>
      <c r="AV36" s="328"/>
      <c r="AW36" s="327">
        <v>0</v>
      </c>
      <c r="AX36" s="328"/>
      <c r="AY36" s="327">
        <v>0</v>
      </c>
      <c r="AZ36" s="328"/>
      <c r="BA36" s="327">
        <v>370.55</v>
      </c>
      <c r="BB36" s="328"/>
      <c r="BC36" s="327">
        <v>0</v>
      </c>
      <c r="BD36" s="328"/>
      <c r="BE36" s="327">
        <v>0</v>
      </c>
      <c r="BF36" s="328"/>
      <c r="BG36" s="327">
        <v>0</v>
      </c>
      <c r="BH36" s="328"/>
      <c r="BI36" s="327">
        <v>0</v>
      </c>
      <c r="BJ36" s="328"/>
      <c r="BK36" s="327">
        <v>0</v>
      </c>
      <c r="BL36" s="328"/>
      <c r="BM36" s="327">
        <f t="shared" si="16"/>
        <v>370.55</v>
      </c>
      <c r="BN36" s="328"/>
      <c r="BO36" s="327">
        <f t="shared" si="17"/>
        <v>370.55</v>
      </c>
      <c r="BP36" s="328"/>
      <c r="BQ36" s="331">
        <v>0</v>
      </c>
      <c r="BR36" s="328"/>
      <c r="BS36" s="327">
        <v>0</v>
      </c>
      <c r="BT36" s="328"/>
      <c r="BU36" s="331">
        <v>0</v>
      </c>
      <c r="BV36" s="328"/>
      <c r="BW36" s="327">
        <v>0</v>
      </c>
      <c r="BX36" s="328"/>
      <c r="BY36" s="327">
        <v>0</v>
      </c>
      <c r="BZ36" s="328"/>
      <c r="CA36" s="331">
        <v>0</v>
      </c>
      <c r="CB36" s="328"/>
      <c r="CC36" s="331">
        <v>0</v>
      </c>
      <c r="CD36" s="328"/>
      <c r="CE36" s="327">
        <v>0</v>
      </c>
      <c r="CF36" s="328"/>
      <c r="CG36" s="327">
        <v>0</v>
      </c>
      <c r="CH36" s="328"/>
      <c r="CI36" s="327">
        <v>0</v>
      </c>
      <c r="CJ36" s="328"/>
      <c r="CK36" s="327">
        <v>0</v>
      </c>
      <c r="CL36" s="328"/>
      <c r="CM36" s="332">
        <f t="shared" si="18"/>
        <v>0</v>
      </c>
      <c r="CN36" s="328"/>
      <c r="CO36" s="331">
        <v>0</v>
      </c>
      <c r="CP36" s="328"/>
      <c r="CQ36" s="327">
        <v>0</v>
      </c>
      <c r="CR36" s="328"/>
      <c r="CS36" s="327">
        <f t="shared" si="19"/>
        <v>0</v>
      </c>
      <c r="CT36" s="328"/>
      <c r="CU36" s="327">
        <f t="shared" si="20"/>
        <v>370.55</v>
      </c>
      <c r="CV36" s="328"/>
      <c r="CW36" s="329">
        <v>0</v>
      </c>
      <c r="CX36" s="328"/>
      <c r="CY36" s="327">
        <f t="shared" si="21"/>
        <v>3077.15</v>
      </c>
      <c r="CZ36" s="333">
        <v>7</v>
      </c>
      <c r="DA36" s="344">
        <f t="shared" si="10"/>
        <v>0</v>
      </c>
      <c r="DB36" s="344"/>
      <c r="DC36" s="344">
        <f t="shared" si="11"/>
        <v>370.55</v>
      </c>
    </row>
    <row r="37" spans="1:107" ht="15" thickBot="1" x14ac:dyDescent="0.35">
      <c r="A37" s="326"/>
      <c r="B37" s="326"/>
      <c r="C37" s="326"/>
      <c r="D37" s="326"/>
      <c r="E37" s="326"/>
      <c r="F37" s="326"/>
      <c r="G37" s="326" t="s">
        <v>642</v>
      </c>
      <c r="H37" s="326"/>
      <c r="I37" s="339">
        <v>0</v>
      </c>
      <c r="J37" s="328"/>
      <c r="K37" s="339">
        <v>13.13</v>
      </c>
      <c r="L37" s="328"/>
      <c r="M37" s="340">
        <f t="shared" si="12"/>
        <v>13.13</v>
      </c>
      <c r="N37" s="328"/>
      <c r="O37" s="339">
        <v>0</v>
      </c>
      <c r="P37" s="328"/>
      <c r="Q37" s="339">
        <v>0</v>
      </c>
      <c r="R37" s="328"/>
      <c r="S37" s="339">
        <v>0</v>
      </c>
      <c r="T37" s="328"/>
      <c r="U37" s="341">
        <f t="shared" si="13"/>
        <v>0</v>
      </c>
      <c r="V37" s="328"/>
      <c r="W37" s="339">
        <v>0</v>
      </c>
      <c r="X37" s="328"/>
      <c r="Y37" s="339">
        <v>0</v>
      </c>
      <c r="Z37" s="328"/>
      <c r="AA37" s="339">
        <v>0</v>
      </c>
      <c r="AB37" s="328"/>
      <c r="AC37" s="339">
        <v>0</v>
      </c>
      <c r="AD37" s="328"/>
      <c r="AE37" s="339">
        <v>0</v>
      </c>
      <c r="AF37" s="328"/>
      <c r="AG37" s="342">
        <f t="shared" si="14"/>
        <v>0</v>
      </c>
      <c r="AH37" s="328"/>
      <c r="AI37" s="339">
        <v>0</v>
      </c>
      <c r="AJ37" s="328"/>
      <c r="AK37" s="339">
        <v>0</v>
      </c>
      <c r="AL37" s="328"/>
      <c r="AM37" s="339">
        <v>0</v>
      </c>
      <c r="AN37" s="328"/>
      <c r="AO37" s="339">
        <v>0</v>
      </c>
      <c r="AP37" s="328"/>
      <c r="AQ37" s="339">
        <f t="shared" si="15"/>
        <v>0</v>
      </c>
      <c r="AR37" s="328"/>
      <c r="AS37" s="339">
        <v>0</v>
      </c>
      <c r="AT37" s="328"/>
      <c r="AU37" s="339">
        <v>0</v>
      </c>
      <c r="AV37" s="328"/>
      <c r="AW37" s="339">
        <v>0</v>
      </c>
      <c r="AX37" s="328"/>
      <c r="AY37" s="339">
        <v>0</v>
      </c>
      <c r="AZ37" s="328"/>
      <c r="BA37" s="339">
        <v>0</v>
      </c>
      <c r="BB37" s="328"/>
      <c r="BC37" s="339">
        <v>0</v>
      </c>
      <c r="BD37" s="328"/>
      <c r="BE37" s="339">
        <v>0</v>
      </c>
      <c r="BF37" s="328"/>
      <c r="BG37" s="339">
        <v>0</v>
      </c>
      <c r="BH37" s="328"/>
      <c r="BI37" s="339">
        <v>0</v>
      </c>
      <c r="BJ37" s="328"/>
      <c r="BK37" s="339">
        <v>0</v>
      </c>
      <c r="BL37" s="328"/>
      <c r="BM37" s="339">
        <f t="shared" si="16"/>
        <v>0</v>
      </c>
      <c r="BN37" s="328"/>
      <c r="BO37" s="339">
        <f t="shared" si="17"/>
        <v>0</v>
      </c>
      <c r="BP37" s="328"/>
      <c r="BQ37" s="342">
        <v>0</v>
      </c>
      <c r="BR37" s="328"/>
      <c r="BS37" s="339">
        <v>0</v>
      </c>
      <c r="BT37" s="328"/>
      <c r="BU37" s="342">
        <v>0</v>
      </c>
      <c r="BV37" s="328"/>
      <c r="BW37" s="339">
        <v>0</v>
      </c>
      <c r="BX37" s="328"/>
      <c r="BY37" s="339">
        <v>0</v>
      </c>
      <c r="BZ37" s="328"/>
      <c r="CA37" s="342">
        <v>0</v>
      </c>
      <c r="CB37" s="328"/>
      <c r="CC37" s="342">
        <v>0</v>
      </c>
      <c r="CD37" s="328"/>
      <c r="CE37" s="339">
        <v>0</v>
      </c>
      <c r="CF37" s="328"/>
      <c r="CG37" s="339">
        <v>0</v>
      </c>
      <c r="CH37" s="328"/>
      <c r="CI37" s="339">
        <v>0</v>
      </c>
      <c r="CJ37" s="328"/>
      <c r="CK37" s="339">
        <v>0</v>
      </c>
      <c r="CL37" s="328"/>
      <c r="CM37" s="343">
        <f t="shared" si="18"/>
        <v>0</v>
      </c>
      <c r="CN37" s="328"/>
      <c r="CO37" s="342">
        <v>0</v>
      </c>
      <c r="CP37" s="328"/>
      <c r="CQ37" s="339">
        <v>0</v>
      </c>
      <c r="CR37" s="328"/>
      <c r="CS37" s="339">
        <f t="shared" si="19"/>
        <v>0</v>
      </c>
      <c r="CT37" s="328"/>
      <c r="CU37" s="339">
        <f t="shared" si="20"/>
        <v>0</v>
      </c>
      <c r="CV37" s="328"/>
      <c r="CW37" s="340">
        <v>0</v>
      </c>
      <c r="CX37" s="328"/>
      <c r="CY37" s="339">
        <f t="shared" si="21"/>
        <v>13.13</v>
      </c>
      <c r="DA37" s="344">
        <f t="shared" si="10"/>
        <v>0</v>
      </c>
      <c r="DB37" s="344"/>
      <c r="DC37" s="344">
        <f t="shared" si="11"/>
        <v>0</v>
      </c>
    </row>
    <row r="38" spans="1:107" x14ac:dyDescent="0.3">
      <c r="A38" s="326"/>
      <c r="B38" s="326"/>
      <c r="C38" s="326"/>
      <c r="D38" s="326"/>
      <c r="E38" s="326"/>
      <c r="F38" s="326" t="s">
        <v>643</v>
      </c>
      <c r="G38" s="326"/>
      <c r="H38" s="326"/>
      <c r="I38" s="327">
        <f>ROUND(SUM(I19:I22)+I27+SUM(I34:I37),5)</f>
        <v>0</v>
      </c>
      <c r="J38" s="328"/>
      <c r="K38" s="327">
        <f>ROUND(SUM(K19:K22)+K27+SUM(K34:K37),5)</f>
        <v>437457.47</v>
      </c>
      <c r="L38" s="328"/>
      <c r="M38" s="329">
        <f t="shared" si="12"/>
        <v>437457.47</v>
      </c>
      <c r="N38" s="328"/>
      <c r="O38" s="327">
        <f>ROUND(SUM(O19:O22)+O27+SUM(O34:O37),5)</f>
        <v>88.82</v>
      </c>
      <c r="P38" s="328"/>
      <c r="Q38" s="327">
        <f>ROUND(SUM(Q19:Q22)+Q27+SUM(Q34:Q37),5)</f>
        <v>9388.2199999999993</v>
      </c>
      <c r="R38" s="328"/>
      <c r="S38" s="327">
        <f>ROUND(SUM(S19:S22)+S27+SUM(S34:S37),5)</f>
        <v>56189.19</v>
      </c>
      <c r="T38" s="328"/>
      <c r="U38" s="330">
        <f t="shared" si="13"/>
        <v>65666.23</v>
      </c>
      <c r="V38" s="328"/>
      <c r="W38" s="327">
        <f>ROUND(SUM(W19:W22)+W27+SUM(W34:W37),5)</f>
        <v>682.38</v>
      </c>
      <c r="X38" s="328"/>
      <c r="Y38" s="327">
        <f>ROUND(SUM(Y19:Y22)+Y27+SUM(Y34:Y37),5)</f>
        <v>8769.7199999999993</v>
      </c>
      <c r="Z38" s="328"/>
      <c r="AA38" s="327">
        <f>ROUND(SUM(AA19:AA22)+AA27+SUM(AA34:AA37),5)</f>
        <v>594.13</v>
      </c>
      <c r="AB38" s="328"/>
      <c r="AC38" s="327">
        <f>ROUND(SUM(AC19:AC22)+AC27+SUM(AC34:AC37),5)</f>
        <v>0</v>
      </c>
      <c r="AD38" s="328"/>
      <c r="AE38" s="327">
        <f>ROUND(SUM(AE19:AE22)+AE27+SUM(AE34:AE37),5)</f>
        <v>0</v>
      </c>
      <c r="AF38" s="328"/>
      <c r="AG38" s="331">
        <f t="shared" si="14"/>
        <v>594.13</v>
      </c>
      <c r="AH38" s="328"/>
      <c r="AI38" s="327">
        <f>ROUND(SUM(AI19:AI22)+AI27+SUM(AI34:AI37),5)</f>
        <v>3202.61</v>
      </c>
      <c r="AJ38" s="328"/>
      <c r="AK38" s="327">
        <f>ROUND(SUM(AK19:AK22)+AK27+SUM(AK34:AK37),5)</f>
        <v>305.87</v>
      </c>
      <c r="AL38" s="328"/>
      <c r="AM38" s="327">
        <f>ROUND(SUM(AM19:AM22)+AM27+SUM(AM34:AM37),5)</f>
        <v>0</v>
      </c>
      <c r="AN38" s="328"/>
      <c r="AO38" s="327">
        <f>ROUND(SUM(AO19:AO22)+AO27+SUM(AO34:AO37),5)</f>
        <v>435.99</v>
      </c>
      <c r="AP38" s="328"/>
      <c r="AQ38" s="327">
        <f t="shared" si="15"/>
        <v>3944.47</v>
      </c>
      <c r="AR38" s="328"/>
      <c r="AS38" s="327">
        <f>ROUND(SUM(AS19:AS22)+AS27+SUM(AS34:AS37),5)</f>
        <v>538.34</v>
      </c>
      <c r="AT38" s="328"/>
      <c r="AU38" s="327">
        <f>ROUND(SUM(AU19:AU22)+AU27+SUM(AU34:AU37),5)</f>
        <v>0</v>
      </c>
      <c r="AV38" s="328"/>
      <c r="AW38" s="327">
        <f>ROUND(SUM(AW19:AW22)+AW27+SUM(AW34:AW37),5)</f>
        <v>1516.09</v>
      </c>
      <c r="AX38" s="328"/>
      <c r="AY38" s="327">
        <f>ROUND(SUM(AY19:AY22)+AY27+SUM(AY34:AY37),5)</f>
        <v>562.12</v>
      </c>
      <c r="AZ38" s="328"/>
      <c r="BA38" s="327">
        <f>ROUND(SUM(BA19:BA22)+BA27+SUM(BA34:BA37),5)</f>
        <v>3308.88</v>
      </c>
      <c r="BB38" s="328"/>
      <c r="BC38" s="327">
        <f>ROUND(SUM(BC19:BC22)+BC27+SUM(BC34:BC37),5)</f>
        <v>564.48</v>
      </c>
      <c r="BD38" s="328"/>
      <c r="BE38" s="327">
        <f>ROUND(SUM(BE19:BE22)+BE27+SUM(BE34:BE37),5)</f>
        <v>18467.84</v>
      </c>
      <c r="BF38" s="328"/>
      <c r="BG38" s="327">
        <f>ROUND(SUM(BG19:BG22)+BG27+SUM(BG34:BG37),5)</f>
        <v>0</v>
      </c>
      <c r="BH38" s="328"/>
      <c r="BI38" s="327">
        <f>ROUND(SUM(BI19:BI22)+BI27+SUM(BI34:BI37),5)</f>
        <v>0</v>
      </c>
      <c r="BJ38" s="328"/>
      <c r="BK38" s="327">
        <f>ROUND(SUM(BK19:BK22)+BK27+SUM(BK34:BK37),5)</f>
        <v>2379</v>
      </c>
      <c r="BL38" s="328"/>
      <c r="BM38" s="327">
        <f t="shared" si="16"/>
        <v>26798.41</v>
      </c>
      <c r="BN38" s="328"/>
      <c r="BO38" s="327">
        <f t="shared" si="17"/>
        <v>41327.449999999997</v>
      </c>
      <c r="BP38" s="328"/>
      <c r="BQ38" s="331">
        <f>ROUND(SUM(BQ19:BQ22)+BQ27+SUM(BQ34:BQ37),5)</f>
        <v>105803.99</v>
      </c>
      <c r="BR38" s="328"/>
      <c r="BS38" s="327">
        <f>ROUND(SUM(BS19:BS22)+BS27+SUM(BS34:BS37),5)</f>
        <v>0</v>
      </c>
      <c r="BT38" s="328"/>
      <c r="BU38" s="331">
        <f>ROUND(SUM(BU19:BU22)+BU27+SUM(BU34:BU37),5)</f>
        <v>0</v>
      </c>
      <c r="BV38" s="328"/>
      <c r="BW38" s="327">
        <f>ROUND(SUM(BW19:BW22)+BW27+SUM(BW34:BW37),5)</f>
        <v>38439.85</v>
      </c>
      <c r="BX38" s="328"/>
      <c r="BY38" s="327">
        <f>ROUND(SUM(BY19:BY22)+BY27+SUM(BY34:BY37),5)</f>
        <v>0</v>
      </c>
      <c r="BZ38" s="328"/>
      <c r="CA38" s="331">
        <f>ROUND(SUM(CA19:CA22)+CA27+SUM(CA34:CA37),5)</f>
        <v>11248.65</v>
      </c>
      <c r="CB38" s="328"/>
      <c r="CC38" s="331">
        <f>ROUND(SUM(CC19:CC22)+CC27+SUM(CC34:CC37),5)</f>
        <v>0</v>
      </c>
      <c r="CD38" s="328"/>
      <c r="CE38" s="327">
        <f>ROUND(SUM(CE19:CE22)+CE27+SUM(CE34:CE37),5)</f>
        <v>0</v>
      </c>
      <c r="CF38" s="328"/>
      <c r="CG38" s="327">
        <f>ROUND(SUM(CG19:CG22)+CG27+SUM(CG34:CG37),5)</f>
        <v>55.72</v>
      </c>
      <c r="CH38" s="328"/>
      <c r="CI38" s="327">
        <f>ROUND(SUM(CI19:CI22)+CI27+SUM(CI34:CI37),5)</f>
        <v>8250.51</v>
      </c>
      <c r="CJ38" s="328"/>
      <c r="CK38" s="327">
        <f>ROUND(SUM(CK19:CK22)+CK27+SUM(CK34:CK37),5)</f>
        <v>5376.05</v>
      </c>
      <c r="CL38" s="328"/>
      <c r="CM38" s="332">
        <f t="shared" si="18"/>
        <v>13682.28</v>
      </c>
      <c r="CN38" s="328"/>
      <c r="CO38" s="331">
        <f>ROUND(SUM(CO19:CO22)+CO27+SUM(CO34:CO37),5)</f>
        <v>826.39</v>
      </c>
      <c r="CP38" s="328"/>
      <c r="CQ38" s="327">
        <f>ROUND(SUM(CQ19:CQ22)+CQ27+SUM(CQ34:CQ37),5)</f>
        <v>0</v>
      </c>
      <c r="CR38" s="328"/>
      <c r="CS38" s="327">
        <f t="shared" si="19"/>
        <v>170001.16</v>
      </c>
      <c r="CT38" s="328"/>
      <c r="CU38" s="327">
        <f t="shared" si="20"/>
        <v>211328.61</v>
      </c>
      <c r="CV38" s="328"/>
      <c r="CW38" s="329">
        <f>ROUND(SUM(CW19:CW22)+CW27+SUM(CW34:CW37),5)</f>
        <v>0</v>
      </c>
      <c r="CX38" s="328"/>
      <c r="CY38" s="327">
        <f t="shared" si="21"/>
        <v>714452.31</v>
      </c>
      <c r="DA38" s="344">
        <f t="shared" si="10"/>
        <v>118473.16</v>
      </c>
      <c r="DB38" s="344"/>
      <c r="DC38" s="344">
        <f t="shared" si="11"/>
        <v>79173.17</v>
      </c>
    </row>
    <row r="39" spans="1:107" x14ac:dyDescent="0.3">
      <c r="A39" s="326"/>
      <c r="B39" s="326"/>
      <c r="C39" s="326"/>
      <c r="D39" s="326"/>
      <c r="E39" s="326"/>
      <c r="F39" s="326" t="s">
        <v>644</v>
      </c>
      <c r="G39" s="326"/>
      <c r="H39" s="326"/>
      <c r="I39" s="327"/>
      <c r="J39" s="328"/>
      <c r="K39" s="327"/>
      <c r="L39" s="328"/>
      <c r="M39" s="329"/>
      <c r="N39" s="328"/>
      <c r="O39" s="327"/>
      <c r="P39" s="328"/>
      <c r="Q39" s="327"/>
      <c r="R39" s="328"/>
      <c r="S39" s="327"/>
      <c r="T39" s="328"/>
      <c r="U39" s="330"/>
      <c r="V39" s="328"/>
      <c r="W39" s="327"/>
      <c r="X39" s="328"/>
      <c r="Y39" s="327"/>
      <c r="Z39" s="328"/>
      <c r="AA39" s="327"/>
      <c r="AB39" s="328"/>
      <c r="AC39" s="327"/>
      <c r="AD39" s="328"/>
      <c r="AE39" s="327"/>
      <c r="AF39" s="328"/>
      <c r="AG39" s="331"/>
      <c r="AH39" s="328"/>
      <c r="AI39" s="327"/>
      <c r="AJ39" s="328"/>
      <c r="AK39" s="327"/>
      <c r="AL39" s="328"/>
      <c r="AM39" s="327"/>
      <c r="AN39" s="328"/>
      <c r="AO39" s="327"/>
      <c r="AP39" s="328"/>
      <c r="AQ39" s="327"/>
      <c r="AR39" s="328"/>
      <c r="AS39" s="327"/>
      <c r="AT39" s="328"/>
      <c r="AU39" s="327"/>
      <c r="AV39" s="328"/>
      <c r="AW39" s="327"/>
      <c r="AX39" s="328"/>
      <c r="AY39" s="327"/>
      <c r="AZ39" s="328"/>
      <c r="BA39" s="327"/>
      <c r="BB39" s="328"/>
      <c r="BC39" s="327"/>
      <c r="BD39" s="328"/>
      <c r="BE39" s="327"/>
      <c r="BF39" s="328"/>
      <c r="BG39" s="327"/>
      <c r="BH39" s="328"/>
      <c r="BI39" s="327"/>
      <c r="BJ39" s="328"/>
      <c r="BK39" s="327"/>
      <c r="BL39" s="328"/>
      <c r="BM39" s="327"/>
      <c r="BN39" s="328"/>
      <c r="BO39" s="327"/>
      <c r="BP39" s="328"/>
      <c r="BQ39" s="331"/>
      <c r="BR39" s="328"/>
      <c r="BS39" s="327"/>
      <c r="BT39" s="328"/>
      <c r="BU39" s="331"/>
      <c r="BV39" s="328"/>
      <c r="BW39" s="327"/>
      <c r="BX39" s="328"/>
      <c r="BY39" s="327"/>
      <c r="BZ39" s="328"/>
      <c r="CA39" s="331"/>
      <c r="CB39" s="328"/>
      <c r="CC39" s="331"/>
      <c r="CD39" s="328"/>
      <c r="CE39" s="327"/>
      <c r="CF39" s="328"/>
      <c r="CG39" s="327"/>
      <c r="CH39" s="328"/>
      <c r="CI39" s="327"/>
      <c r="CJ39" s="328"/>
      <c r="CK39" s="327"/>
      <c r="CL39" s="328"/>
      <c r="CM39" s="332"/>
      <c r="CN39" s="328"/>
      <c r="CO39" s="331"/>
      <c r="CP39" s="328"/>
      <c r="CQ39" s="327"/>
      <c r="CR39" s="328"/>
      <c r="CS39" s="327"/>
      <c r="CT39" s="328"/>
      <c r="CU39" s="327"/>
      <c r="CV39" s="328"/>
      <c r="CW39" s="329"/>
      <c r="CX39" s="328"/>
      <c r="CY39" s="327"/>
      <c r="DA39" s="344">
        <f t="shared" si="10"/>
        <v>0</v>
      </c>
      <c r="DB39" s="344"/>
      <c r="DC39" s="344">
        <f t="shared" si="11"/>
        <v>0</v>
      </c>
    </row>
    <row r="40" spans="1:107" x14ac:dyDescent="0.3">
      <c r="A40" s="326"/>
      <c r="B40" s="326"/>
      <c r="C40" s="326"/>
      <c r="D40" s="326"/>
      <c r="E40" s="326"/>
      <c r="F40" s="326"/>
      <c r="G40" s="326" t="s">
        <v>645</v>
      </c>
      <c r="H40" s="326"/>
      <c r="I40" s="327">
        <v>31653.96</v>
      </c>
      <c r="J40" s="328"/>
      <c r="K40" s="327">
        <v>0</v>
      </c>
      <c r="L40" s="328"/>
      <c r="M40" s="329">
        <f t="shared" ref="M40:M47" si="22">ROUND(SUM(I40:K40),5)</f>
        <v>31653.96</v>
      </c>
      <c r="N40" s="328"/>
      <c r="O40" s="327">
        <v>0</v>
      </c>
      <c r="P40" s="328"/>
      <c r="Q40" s="327">
        <v>0</v>
      </c>
      <c r="R40" s="328"/>
      <c r="S40" s="327">
        <v>0</v>
      </c>
      <c r="T40" s="328"/>
      <c r="U40" s="330">
        <f t="shared" ref="U40:U47" si="23">ROUND(SUM(O40:S40),5)</f>
        <v>0</v>
      </c>
      <c r="V40" s="328"/>
      <c r="W40" s="327">
        <v>0</v>
      </c>
      <c r="X40" s="328"/>
      <c r="Y40" s="327">
        <v>0</v>
      </c>
      <c r="Z40" s="328"/>
      <c r="AA40" s="327">
        <v>0</v>
      </c>
      <c r="AB40" s="328"/>
      <c r="AC40" s="327">
        <v>0</v>
      </c>
      <c r="AD40" s="328"/>
      <c r="AE40" s="327">
        <v>0</v>
      </c>
      <c r="AF40" s="328"/>
      <c r="AG40" s="331">
        <f t="shared" ref="AG40:AG47" si="24">ROUND(SUM(AA40:AE40),5)</f>
        <v>0</v>
      </c>
      <c r="AH40" s="328"/>
      <c r="AI40" s="327">
        <v>0</v>
      </c>
      <c r="AJ40" s="328"/>
      <c r="AK40" s="327">
        <v>0</v>
      </c>
      <c r="AL40" s="328"/>
      <c r="AM40" s="327">
        <v>0</v>
      </c>
      <c r="AN40" s="328"/>
      <c r="AO40" s="327">
        <v>0</v>
      </c>
      <c r="AP40" s="328"/>
      <c r="AQ40" s="327">
        <f t="shared" ref="AQ40:AQ47" si="25">ROUND(SUM(AI40:AO40),5)</f>
        <v>0</v>
      </c>
      <c r="AR40" s="328"/>
      <c r="AS40" s="327">
        <v>0</v>
      </c>
      <c r="AT40" s="328"/>
      <c r="AU40" s="327">
        <v>0</v>
      </c>
      <c r="AV40" s="328"/>
      <c r="AW40" s="327">
        <v>0</v>
      </c>
      <c r="AX40" s="328"/>
      <c r="AY40" s="327">
        <v>0</v>
      </c>
      <c r="AZ40" s="328"/>
      <c r="BA40" s="327">
        <v>0</v>
      </c>
      <c r="BB40" s="328"/>
      <c r="BC40" s="327">
        <v>0</v>
      </c>
      <c r="BD40" s="328"/>
      <c r="BE40" s="327">
        <v>0</v>
      </c>
      <c r="BF40" s="328"/>
      <c r="BG40" s="327">
        <v>0</v>
      </c>
      <c r="BH40" s="328"/>
      <c r="BI40" s="327">
        <v>0</v>
      </c>
      <c r="BJ40" s="328"/>
      <c r="BK40" s="327">
        <v>0</v>
      </c>
      <c r="BL40" s="328"/>
      <c r="BM40" s="327">
        <f t="shared" ref="BM40:BM47" si="26">ROUND(SUM(AU40:BK40),5)</f>
        <v>0</v>
      </c>
      <c r="BN40" s="328"/>
      <c r="BO40" s="327">
        <f t="shared" ref="BO40:BO47" si="27">ROUND(SUM(W40:Y40)+AG40+SUM(AQ40:AS40)+BM40,5)</f>
        <v>0</v>
      </c>
      <c r="BP40" s="328"/>
      <c r="BQ40" s="331">
        <v>0</v>
      </c>
      <c r="BR40" s="328"/>
      <c r="BS40" s="327">
        <v>0</v>
      </c>
      <c r="BT40" s="328"/>
      <c r="BU40" s="331">
        <v>0</v>
      </c>
      <c r="BV40" s="328"/>
      <c r="BW40" s="327">
        <v>0</v>
      </c>
      <c r="BX40" s="328"/>
      <c r="BY40" s="327">
        <v>0</v>
      </c>
      <c r="BZ40" s="328"/>
      <c r="CA40" s="331">
        <v>0</v>
      </c>
      <c r="CB40" s="328"/>
      <c r="CC40" s="331">
        <v>0</v>
      </c>
      <c r="CD40" s="328"/>
      <c r="CE40" s="327">
        <v>0</v>
      </c>
      <c r="CF40" s="328"/>
      <c r="CG40" s="327">
        <v>0</v>
      </c>
      <c r="CH40" s="328"/>
      <c r="CI40" s="327">
        <v>0</v>
      </c>
      <c r="CJ40" s="328"/>
      <c r="CK40" s="327">
        <v>0</v>
      </c>
      <c r="CL40" s="328"/>
      <c r="CM40" s="332">
        <f t="shared" ref="CM40:CM47" si="28">ROUND(SUM(CE40:CK40),5)</f>
        <v>0</v>
      </c>
      <c r="CN40" s="328"/>
      <c r="CO40" s="331">
        <v>48540.04</v>
      </c>
      <c r="CP40" s="328"/>
      <c r="CQ40" s="327">
        <v>0</v>
      </c>
      <c r="CR40" s="328"/>
      <c r="CS40" s="327">
        <f t="shared" ref="CS40:CS47" si="29">ROUND(SUM(BQ40:CC40)+SUM(CM40:CQ40),5)</f>
        <v>48540.04</v>
      </c>
      <c r="CT40" s="328"/>
      <c r="CU40" s="327">
        <f t="shared" ref="CU40:CU47" si="30">ROUND(BO40+CS40,5)</f>
        <v>48540.04</v>
      </c>
      <c r="CV40" s="328"/>
      <c r="CW40" s="329">
        <v>0</v>
      </c>
      <c r="CX40" s="328"/>
      <c r="CY40" s="327">
        <f t="shared" ref="CY40:CY47" si="31">ROUND(M40+U40+SUM(CU40:CW40),5)</f>
        <v>80194</v>
      </c>
      <c r="CZ40" s="333">
        <v>7</v>
      </c>
      <c r="DA40" s="344">
        <f t="shared" si="10"/>
        <v>48540.04</v>
      </c>
      <c r="DB40" s="344"/>
      <c r="DC40" s="344">
        <f t="shared" si="11"/>
        <v>0</v>
      </c>
    </row>
    <row r="41" spans="1:107" s="348" customFormat="1" x14ac:dyDescent="0.3">
      <c r="A41" s="346"/>
      <c r="B41" s="346"/>
      <c r="C41" s="346"/>
      <c r="D41" s="346"/>
      <c r="E41" s="346"/>
      <c r="F41" s="346"/>
      <c r="G41" s="346" t="s">
        <v>646</v>
      </c>
      <c r="H41" s="346"/>
      <c r="I41" s="332">
        <v>0</v>
      </c>
      <c r="J41" s="347"/>
      <c r="K41" s="332">
        <v>3285</v>
      </c>
      <c r="L41" s="347"/>
      <c r="M41" s="329">
        <f t="shared" si="22"/>
        <v>3285</v>
      </c>
      <c r="N41" s="347"/>
      <c r="O41" s="332">
        <v>0</v>
      </c>
      <c r="P41" s="347"/>
      <c r="Q41" s="332">
        <v>0</v>
      </c>
      <c r="R41" s="347"/>
      <c r="S41" s="332">
        <v>0</v>
      </c>
      <c r="T41" s="347"/>
      <c r="U41" s="330">
        <f t="shared" si="23"/>
        <v>0</v>
      </c>
      <c r="V41" s="347"/>
      <c r="W41" s="332">
        <v>0</v>
      </c>
      <c r="X41" s="347"/>
      <c r="Y41" s="332">
        <v>0</v>
      </c>
      <c r="Z41" s="347"/>
      <c r="AA41" s="332">
        <v>0</v>
      </c>
      <c r="AB41" s="347"/>
      <c r="AC41" s="332">
        <v>0</v>
      </c>
      <c r="AD41" s="347"/>
      <c r="AE41" s="332">
        <v>0</v>
      </c>
      <c r="AF41" s="347"/>
      <c r="AG41" s="331">
        <f t="shared" si="24"/>
        <v>0</v>
      </c>
      <c r="AH41" s="347"/>
      <c r="AI41" s="332">
        <v>0</v>
      </c>
      <c r="AJ41" s="347"/>
      <c r="AK41" s="332">
        <v>0</v>
      </c>
      <c r="AL41" s="347"/>
      <c r="AM41" s="332">
        <v>0</v>
      </c>
      <c r="AN41" s="347"/>
      <c r="AO41" s="332">
        <v>0</v>
      </c>
      <c r="AP41" s="347"/>
      <c r="AQ41" s="332">
        <f t="shared" si="25"/>
        <v>0</v>
      </c>
      <c r="AR41" s="347"/>
      <c r="AS41" s="332">
        <v>0</v>
      </c>
      <c r="AT41" s="347"/>
      <c r="AU41" s="332">
        <v>0</v>
      </c>
      <c r="AV41" s="347"/>
      <c r="AW41" s="332">
        <v>0</v>
      </c>
      <c r="AX41" s="347"/>
      <c r="AY41" s="332">
        <v>0</v>
      </c>
      <c r="AZ41" s="347"/>
      <c r="BA41" s="332">
        <v>0</v>
      </c>
      <c r="BB41" s="347"/>
      <c r="BC41" s="332">
        <v>0</v>
      </c>
      <c r="BD41" s="347"/>
      <c r="BE41" s="332">
        <v>0</v>
      </c>
      <c r="BF41" s="347"/>
      <c r="BG41" s="332">
        <v>0</v>
      </c>
      <c r="BH41" s="347"/>
      <c r="BI41" s="332">
        <v>0</v>
      </c>
      <c r="BJ41" s="347"/>
      <c r="BK41" s="332">
        <v>0</v>
      </c>
      <c r="BL41" s="347"/>
      <c r="BM41" s="332">
        <f t="shared" si="26"/>
        <v>0</v>
      </c>
      <c r="BN41" s="347"/>
      <c r="BO41" s="332">
        <f t="shared" si="27"/>
        <v>0</v>
      </c>
      <c r="BP41" s="347"/>
      <c r="BQ41" s="331">
        <v>0</v>
      </c>
      <c r="BR41" s="347"/>
      <c r="BS41" s="332">
        <v>0</v>
      </c>
      <c r="BT41" s="347"/>
      <c r="BU41" s="331">
        <v>0</v>
      </c>
      <c r="BV41" s="347"/>
      <c r="BW41" s="332">
        <v>0</v>
      </c>
      <c r="BX41" s="347"/>
      <c r="BY41" s="332">
        <v>0</v>
      </c>
      <c r="BZ41" s="347"/>
      <c r="CA41" s="331">
        <v>0</v>
      </c>
      <c r="CB41" s="347"/>
      <c r="CC41" s="331">
        <v>0</v>
      </c>
      <c r="CD41" s="347"/>
      <c r="CE41" s="332">
        <v>0</v>
      </c>
      <c r="CF41" s="347"/>
      <c r="CG41" s="332">
        <v>0</v>
      </c>
      <c r="CH41" s="347"/>
      <c r="CI41" s="332">
        <v>0</v>
      </c>
      <c r="CJ41" s="347"/>
      <c r="CK41" s="332">
        <v>0</v>
      </c>
      <c r="CL41" s="347"/>
      <c r="CM41" s="332">
        <f t="shared" si="28"/>
        <v>0</v>
      </c>
      <c r="CN41" s="347"/>
      <c r="CO41" s="331">
        <v>0</v>
      </c>
      <c r="CP41" s="347"/>
      <c r="CQ41" s="332">
        <v>0</v>
      </c>
      <c r="CR41" s="347"/>
      <c r="CS41" s="332">
        <f t="shared" si="29"/>
        <v>0</v>
      </c>
      <c r="CT41" s="347"/>
      <c r="CU41" s="332">
        <f t="shared" si="30"/>
        <v>0</v>
      </c>
      <c r="CV41" s="347"/>
      <c r="CW41" s="329">
        <v>0</v>
      </c>
      <c r="CX41" s="347"/>
      <c r="CY41" s="332">
        <f t="shared" si="31"/>
        <v>3285</v>
      </c>
      <c r="CZ41" s="348">
        <v>11</v>
      </c>
      <c r="DA41" s="344">
        <f t="shared" si="10"/>
        <v>0</v>
      </c>
      <c r="DB41" s="344"/>
      <c r="DC41" s="344">
        <f t="shared" si="11"/>
        <v>0</v>
      </c>
    </row>
    <row r="42" spans="1:107" x14ac:dyDescent="0.3">
      <c r="A42" s="326"/>
      <c r="B42" s="326"/>
      <c r="C42" s="326"/>
      <c r="D42" s="326"/>
      <c r="E42" s="326"/>
      <c r="F42" s="326"/>
      <c r="G42" s="326" t="s">
        <v>647</v>
      </c>
      <c r="H42" s="326"/>
      <c r="I42" s="327">
        <v>0</v>
      </c>
      <c r="J42" s="328"/>
      <c r="K42" s="327">
        <v>0</v>
      </c>
      <c r="L42" s="328"/>
      <c r="M42" s="329">
        <f t="shared" si="22"/>
        <v>0</v>
      </c>
      <c r="N42" s="328"/>
      <c r="O42" s="327">
        <v>0</v>
      </c>
      <c r="P42" s="328"/>
      <c r="Q42" s="327">
        <v>0</v>
      </c>
      <c r="R42" s="328"/>
      <c r="S42" s="327">
        <v>0</v>
      </c>
      <c r="T42" s="328"/>
      <c r="U42" s="330">
        <f t="shared" si="23"/>
        <v>0</v>
      </c>
      <c r="V42" s="328"/>
      <c r="W42" s="327">
        <v>0</v>
      </c>
      <c r="X42" s="328"/>
      <c r="Y42" s="327">
        <v>0</v>
      </c>
      <c r="Z42" s="328"/>
      <c r="AA42" s="327">
        <v>0</v>
      </c>
      <c r="AB42" s="328"/>
      <c r="AC42" s="327">
        <v>0</v>
      </c>
      <c r="AD42" s="328"/>
      <c r="AE42" s="327">
        <v>0</v>
      </c>
      <c r="AF42" s="328"/>
      <c r="AG42" s="331">
        <f t="shared" si="24"/>
        <v>0</v>
      </c>
      <c r="AH42" s="328"/>
      <c r="AI42" s="327">
        <v>0</v>
      </c>
      <c r="AJ42" s="328"/>
      <c r="AK42" s="327">
        <v>0</v>
      </c>
      <c r="AL42" s="328"/>
      <c r="AM42" s="327">
        <v>0</v>
      </c>
      <c r="AN42" s="328"/>
      <c r="AO42" s="327">
        <v>0</v>
      </c>
      <c r="AP42" s="328"/>
      <c r="AQ42" s="327">
        <f t="shared" si="25"/>
        <v>0</v>
      </c>
      <c r="AR42" s="328"/>
      <c r="AS42" s="327">
        <v>0</v>
      </c>
      <c r="AT42" s="328"/>
      <c r="AU42" s="327">
        <v>0</v>
      </c>
      <c r="AV42" s="328"/>
      <c r="AW42" s="327">
        <v>0</v>
      </c>
      <c r="AX42" s="328"/>
      <c r="AY42" s="327">
        <v>0</v>
      </c>
      <c r="AZ42" s="328"/>
      <c r="BA42" s="327">
        <v>2142</v>
      </c>
      <c r="BB42" s="328"/>
      <c r="BC42" s="327">
        <v>0</v>
      </c>
      <c r="BD42" s="328"/>
      <c r="BE42" s="327">
        <v>0</v>
      </c>
      <c r="BF42" s="328"/>
      <c r="BG42" s="327">
        <v>0</v>
      </c>
      <c r="BH42" s="328"/>
      <c r="BI42" s="327">
        <v>0</v>
      </c>
      <c r="BJ42" s="328"/>
      <c r="BK42" s="327">
        <v>0</v>
      </c>
      <c r="BL42" s="328"/>
      <c r="BM42" s="327">
        <f t="shared" si="26"/>
        <v>2142</v>
      </c>
      <c r="BN42" s="328"/>
      <c r="BO42" s="327">
        <f t="shared" si="27"/>
        <v>2142</v>
      </c>
      <c r="BP42" s="328"/>
      <c r="BQ42" s="331">
        <v>0</v>
      </c>
      <c r="BR42" s="328"/>
      <c r="BS42" s="327">
        <v>0</v>
      </c>
      <c r="BT42" s="328"/>
      <c r="BU42" s="331">
        <v>0</v>
      </c>
      <c r="BV42" s="328"/>
      <c r="BW42" s="327">
        <v>0</v>
      </c>
      <c r="BX42" s="328"/>
      <c r="BY42" s="327">
        <v>0</v>
      </c>
      <c r="BZ42" s="328"/>
      <c r="CA42" s="331">
        <v>0</v>
      </c>
      <c r="CB42" s="328"/>
      <c r="CC42" s="331">
        <v>0</v>
      </c>
      <c r="CD42" s="328"/>
      <c r="CE42" s="327">
        <v>0</v>
      </c>
      <c r="CF42" s="328"/>
      <c r="CG42" s="327">
        <v>0</v>
      </c>
      <c r="CH42" s="328"/>
      <c r="CI42" s="327">
        <v>0</v>
      </c>
      <c r="CJ42" s="328"/>
      <c r="CK42" s="327">
        <v>0</v>
      </c>
      <c r="CL42" s="328"/>
      <c r="CM42" s="332">
        <f t="shared" si="28"/>
        <v>0</v>
      </c>
      <c r="CN42" s="328"/>
      <c r="CO42" s="331">
        <v>0</v>
      </c>
      <c r="CP42" s="328"/>
      <c r="CQ42" s="327">
        <v>0</v>
      </c>
      <c r="CR42" s="328"/>
      <c r="CS42" s="327">
        <f t="shared" si="29"/>
        <v>0</v>
      </c>
      <c r="CT42" s="328"/>
      <c r="CU42" s="327">
        <f t="shared" si="30"/>
        <v>2142</v>
      </c>
      <c r="CV42" s="328"/>
      <c r="CW42" s="329">
        <v>0</v>
      </c>
      <c r="CX42" s="328"/>
      <c r="CY42" s="327">
        <f t="shared" si="31"/>
        <v>2142</v>
      </c>
      <c r="CZ42" s="333">
        <v>7</v>
      </c>
      <c r="DA42" s="344">
        <f t="shared" si="10"/>
        <v>0</v>
      </c>
      <c r="DB42" s="344"/>
      <c r="DC42" s="344">
        <f t="shared" si="11"/>
        <v>2142</v>
      </c>
    </row>
    <row r="43" spans="1:107" x14ac:dyDescent="0.3">
      <c r="A43" s="326"/>
      <c r="B43" s="326"/>
      <c r="C43" s="326"/>
      <c r="D43" s="326"/>
      <c r="E43" s="326"/>
      <c r="F43" s="326"/>
      <c r="G43" s="326" t="s">
        <v>648</v>
      </c>
      <c r="H43" s="326"/>
      <c r="I43" s="327">
        <v>0</v>
      </c>
      <c r="J43" s="328"/>
      <c r="K43" s="327">
        <v>6806.21</v>
      </c>
      <c r="L43" s="328"/>
      <c r="M43" s="329">
        <f t="shared" si="22"/>
        <v>6806.21</v>
      </c>
      <c r="N43" s="328"/>
      <c r="O43" s="327">
        <v>0</v>
      </c>
      <c r="P43" s="328"/>
      <c r="Q43" s="327">
        <v>0</v>
      </c>
      <c r="R43" s="328"/>
      <c r="S43" s="327">
        <v>244.59</v>
      </c>
      <c r="T43" s="328"/>
      <c r="U43" s="330">
        <f t="shared" si="23"/>
        <v>244.59</v>
      </c>
      <c r="V43" s="328"/>
      <c r="W43" s="327">
        <v>0</v>
      </c>
      <c r="X43" s="328"/>
      <c r="Y43" s="327">
        <v>0</v>
      </c>
      <c r="Z43" s="328"/>
      <c r="AA43" s="327">
        <v>0</v>
      </c>
      <c r="AB43" s="328"/>
      <c r="AC43" s="327">
        <v>0</v>
      </c>
      <c r="AD43" s="328"/>
      <c r="AE43" s="327">
        <v>0</v>
      </c>
      <c r="AF43" s="328"/>
      <c r="AG43" s="331">
        <f t="shared" si="24"/>
        <v>0</v>
      </c>
      <c r="AH43" s="328"/>
      <c r="AI43" s="327">
        <v>0</v>
      </c>
      <c r="AJ43" s="328"/>
      <c r="AK43" s="327">
        <v>0</v>
      </c>
      <c r="AL43" s="328"/>
      <c r="AM43" s="327">
        <v>0</v>
      </c>
      <c r="AN43" s="328"/>
      <c r="AO43" s="327">
        <v>0</v>
      </c>
      <c r="AP43" s="328"/>
      <c r="AQ43" s="327">
        <f t="shared" si="25"/>
        <v>0</v>
      </c>
      <c r="AR43" s="328"/>
      <c r="AS43" s="327">
        <v>0</v>
      </c>
      <c r="AT43" s="328"/>
      <c r="AU43" s="327">
        <v>0</v>
      </c>
      <c r="AV43" s="328"/>
      <c r="AW43" s="327">
        <v>0</v>
      </c>
      <c r="AX43" s="328"/>
      <c r="AY43" s="327">
        <v>0</v>
      </c>
      <c r="AZ43" s="328"/>
      <c r="BA43" s="327">
        <v>103</v>
      </c>
      <c r="BB43" s="328"/>
      <c r="BC43" s="327">
        <v>0</v>
      </c>
      <c r="BD43" s="328"/>
      <c r="BE43" s="327">
        <v>451</v>
      </c>
      <c r="BF43" s="328"/>
      <c r="BG43" s="327">
        <v>0</v>
      </c>
      <c r="BH43" s="328"/>
      <c r="BI43" s="327">
        <v>0</v>
      </c>
      <c r="BJ43" s="328"/>
      <c r="BK43" s="327">
        <v>0</v>
      </c>
      <c r="BL43" s="328"/>
      <c r="BM43" s="327">
        <f t="shared" si="26"/>
        <v>554</v>
      </c>
      <c r="BN43" s="328"/>
      <c r="BO43" s="327">
        <f t="shared" si="27"/>
        <v>554</v>
      </c>
      <c r="BP43" s="328"/>
      <c r="BQ43" s="331">
        <v>1298.04</v>
      </c>
      <c r="BR43" s="328"/>
      <c r="BS43" s="327">
        <v>0</v>
      </c>
      <c r="BT43" s="328"/>
      <c r="BU43" s="331">
        <v>0</v>
      </c>
      <c r="BV43" s="328"/>
      <c r="BW43" s="327">
        <v>2125.36</v>
      </c>
      <c r="BX43" s="328"/>
      <c r="BY43" s="327">
        <v>0</v>
      </c>
      <c r="BZ43" s="328"/>
      <c r="CA43" s="331">
        <v>0</v>
      </c>
      <c r="CB43" s="328"/>
      <c r="CC43" s="331">
        <v>0</v>
      </c>
      <c r="CD43" s="328"/>
      <c r="CE43" s="327">
        <v>0</v>
      </c>
      <c r="CF43" s="328"/>
      <c r="CG43" s="327">
        <v>0</v>
      </c>
      <c r="CH43" s="328"/>
      <c r="CI43" s="327">
        <v>0</v>
      </c>
      <c r="CJ43" s="328"/>
      <c r="CK43" s="327">
        <v>276.97000000000003</v>
      </c>
      <c r="CL43" s="328"/>
      <c r="CM43" s="332">
        <f t="shared" si="28"/>
        <v>276.97000000000003</v>
      </c>
      <c r="CN43" s="328"/>
      <c r="CO43" s="331">
        <v>0</v>
      </c>
      <c r="CP43" s="328"/>
      <c r="CQ43" s="327">
        <v>0</v>
      </c>
      <c r="CR43" s="328"/>
      <c r="CS43" s="327">
        <f t="shared" si="29"/>
        <v>3700.37</v>
      </c>
      <c r="CT43" s="328"/>
      <c r="CU43" s="327">
        <f t="shared" si="30"/>
        <v>4254.37</v>
      </c>
      <c r="CV43" s="328"/>
      <c r="CW43" s="329">
        <v>0</v>
      </c>
      <c r="CX43" s="328"/>
      <c r="CY43" s="327">
        <f t="shared" si="31"/>
        <v>11305.17</v>
      </c>
      <c r="CZ43" s="333">
        <v>7</v>
      </c>
      <c r="DA43" s="344">
        <f t="shared" si="10"/>
        <v>1298.04</v>
      </c>
      <c r="DB43" s="344"/>
      <c r="DC43" s="344">
        <f t="shared" si="11"/>
        <v>2679.36</v>
      </c>
    </row>
    <row r="44" spans="1:107" x14ac:dyDescent="0.3">
      <c r="A44" s="326"/>
      <c r="B44" s="326"/>
      <c r="C44" s="326"/>
      <c r="D44" s="326"/>
      <c r="E44" s="326"/>
      <c r="F44" s="326"/>
      <c r="G44" s="326" t="s">
        <v>649</v>
      </c>
      <c r="H44" s="326"/>
      <c r="I44" s="327">
        <v>0</v>
      </c>
      <c r="J44" s="328"/>
      <c r="K44" s="327">
        <v>882.91</v>
      </c>
      <c r="L44" s="328"/>
      <c r="M44" s="329">
        <f t="shared" si="22"/>
        <v>882.91</v>
      </c>
      <c r="N44" s="328"/>
      <c r="O44" s="327">
        <v>0</v>
      </c>
      <c r="P44" s="328"/>
      <c r="Q44" s="327">
        <v>0</v>
      </c>
      <c r="R44" s="328"/>
      <c r="S44" s="327">
        <v>575.85</v>
      </c>
      <c r="T44" s="328"/>
      <c r="U44" s="330">
        <f t="shared" si="23"/>
        <v>575.85</v>
      </c>
      <c r="V44" s="328"/>
      <c r="W44" s="327">
        <v>0</v>
      </c>
      <c r="X44" s="328"/>
      <c r="Y44" s="327">
        <v>0</v>
      </c>
      <c r="Z44" s="328"/>
      <c r="AA44" s="327">
        <v>0</v>
      </c>
      <c r="AB44" s="328"/>
      <c r="AC44" s="327">
        <v>0</v>
      </c>
      <c r="AD44" s="328"/>
      <c r="AE44" s="327">
        <v>0</v>
      </c>
      <c r="AF44" s="328"/>
      <c r="AG44" s="331">
        <f t="shared" si="24"/>
        <v>0</v>
      </c>
      <c r="AH44" s="328"/>
      <c r="AI44" s="327">
        <v>0</v>
      </c>
      <c r="AJ44" s="328"/>
      <c r="AK44" s="327">
        <v>0</v>
      </c>
      <c r="AL44" s="328"/>
      <c r="AM44" s="327">
        <v>0</v>
      </c>
      <c r="AN44" s="328"/>
      <c r="AO44" s="327">
        <v>0</v>
      </c>
      <c r="AP44" s="328"/>
      <c r="AQ44" s="327">
        <f t="shared" si="25"/>
        <v>0</v>
      </c>
      <c r="AR44" s="328"/>
      <c r="AS44" s="327">
        <v>0</v>
      </c>
      <c r="AT44" s="328"/>
      <c r="AU44" s="327">
        <v>0</v>
      </c>
      <c r="AV44" s="328"/>
      <c r="AW44" s="327">
        <v>0</v>
      </c>
      <c r="AX44" s="328"/>
      <c r="AY44" s="327">
        <v>0</v>
      </c>
      <c r="AZ44" s="328"/>
      <c r="BA44" s="327">
        <v>0</v>
      </c>
      <c r="BB44" s="328"/>
      <c r="BC44" s="327">
        <v>0</v>
      </c>
      <c r="BD44" s="328"/>
      <c r="BE44" s="327">
        <v>0</v>
      </c>
      <c r="BF44" s="328"/>
      <c r="BG44" s="327">
        <v>0</v>
      </c>
      <c r="BH44" s="328"/>
      <c r="BI44" s="327">
        <v>0</v>
      </c>
      <c r="BJ44" s="328"/>
      <c r="BK44" s="327">
        <v>0</v>
      </c>
      <c r="BL44" s="328"/>
      <c r="BM44" s="327">
        <f t="shared" si="26"/>
        <v>0</v>
      </c>
      <c r="BN44" s="328"/>
      <c r="BO44" s="327">
        <f t="shared" si="27"/>
        <v>0</v>
      </c>
      <c r="BP44" s="328"/>
      <c r="BQ44" s="331">
        <v>3375.1</v>
      </c>
      <c r="BR44" s="328"/>
      <c r="BS44" s="327">
        <v>0</v>
      </c>
      <c r="BT44" s="328"/>
      <c r="BU44" s="331">
        <v>0</v>
      </c>
      <c r="BV44" s="328"/>
      <c r="BW44" s="327">
        <v>3847.63</v>
      </c>
      <c r="BX44" s="328"/>
      <c r="BY44" s="327">
        <v>0</v>
      </c>
      <c r="BZ44" s="328"/>
      <c r="CA44" s="331">
        <v>0</v>
      </c>
      <c r="CB44" s="328"/>
      <c r="CC44" s="331">
        <v>0</v>
      </c>
      <c r="CD44" s="328"/>
      <c r="CE44" s="327">
        <v>0</v>
      </c>
      <c r="CF44" s="328"/>
      <c r="CG44" s="327">
        <v>0</v>
      </c>
      <c r="CH44" s="328"/>
      <c r="CI44" s="327">
        <v>0</v>
      </c>
      <c r="CJ44" s="328"/>
      <c r="CK44" s="327">
        <v>768.62</v>
      </c>
      <c r="CL44" s="328"/>
      <c r="CM44" s="332">
        <f t="shared" si="28"/>
        <v>768.62</v>
      </c>
      <c r="CN44" s="328"/>
      <c r="CO44" s="331">
        <v>0</v>
      </c>
      <c r="CP44" s="328"/>
      <c r="CQ44" s="327">
        <v>0</v>
      </c>
      <c r="CR44" s="328"/>
      <c r="CS44" s="327">
        <f t="shared" si="29"/>
        <v>7991.35</v>
      </c>
      <c r="CT44" s="328"/>
      <c r="CU44" s="327">
        <f t="shared" si="30"/>
        <v>7991.35</v>
      </c>
      <c r="CV44" s="328"/>
      <c r="CW44" s="329">
        <v>0</v>
      </c>
      <c r="CX44" s="328"/>
      <c r="CY44" s="327">
        <f t="shared" si="31"/>
        <v>9450.11</v>
      </c>
      <c r="CZ44" s="333">
        <v>12</v>
      </c>
      <c r="DA44" s="344">
        <f t="shared" si="10"/>
        <v>3375.1</v>
      </c>
      <c r="DB44" s="344"/>
      <c r="DC44" s="344">
        <f t="shared" si="11"/>
        <v>3847.63</v>
      </c>
    </row>
    <row r="45" spans="1:107" x14ac:dyDescent="0.3">
      <c r="A45" s="326"/>
      <c r="B45" s="326"/>
      <c r="C45" s="326"/>
      <c r="D45" s="326"/>
      <c r="E45" s="326"/>
      <c r="F45" s="326"/>
      <c r="G45" s="326" t="s">
        <v>650</v>
      </c>
      <c r="H45" s="326"/>
      <c r="I45" s="327">
        <v>0</v>
      </c>
      <c r="J45" s="328"/>
      <c r="K45" s="327">
        <v>56404.39</v>
      </c>
      <c r="L45" s="328"/>
      <c r="M45" s="329">
        <f t="shared" si="22"/>
        <v>56404.39</v>
      </c>
      <c r="N45" s="328"/>
      <c r="O45" s="327">
        <v>0</v>
      </c>
      <c r="P45" s="328"/>
      <c r="Q45" s="327">
        <v>0</v>
      </c>
      <c r="R45" s="328"/>
      <c r="S45" s="327">
        <v>2107.56</v>
      </c>
      <c r="T45" s="328"/>
      <c r="U45" s="330">
        <f t="shared" si="23"/>
        <v>2107.56</v>
      </c>
      <c r="V45" s="328"/>
      <c r="W45" s="327">
        <v>952.89</v>
      </c>
      <c r="X45" s="328"/>
      <c r="Y45" s="327">
        <v>647.80999999999995</v>
      </c>
      <c r="Z45" s="328"/>
      <c r="AA45" s="327">
        <v>0</v>
      </c>
      <c r="AB45" s="328"/>
      <c r="AC45" s="327">
        <v>0</v>
      </c>
      <c r="AD45" s="328"/>
      <c r="AE45" s="327">
        <v>0</v>
      </c>
      <c r="AF45" s="328"/>
      <c r="AG45" s="331">
        <f t="shared" si="24"/>
        <v>0</v>
      </c>
      <c r="AH45" s="328"/>
      <c r="AI45" s="327">
        <v>0</v>
      </c>
      <c r="AJ45" s="328"/>
      <c r="AK45" s="327">
        <v>3401.02</v>
      </c>
      <c r="AL45" s="328"/>
      <c r="AM45" s="327">
        <v>718.84</v>
      </c>
      <c r="AN45" s="328"/>
      <c r="AO45" s="327">
        <v>3232.51</v>
      </c>
      <c r="AP45" s="328"/>
      <c r="AQ45" s="327">
        <f t="shared" si="25"/>
        <v>7352.37</v>
      </c>
      <c r="AR45" s="328"/>
      <c r="AS45" s="327">
        <v>786.09</v>
      </c>
      <c r="AT45" s="328"/>
      <c r="AU45" s="327">
        <v>0</v>
      </c>
      <c r="AV45" s="328"/>
      <c r="AW45" s="327">
        <v>2040.57</v>
      </c>
      <c r="AX45" s="328"/>
      <c r="AY45" s="327">
        <v>476.84</v>
      </c>
      <c r="AZ45" s="328"/>
      <c r="BA45" s="327">
        <v>603.04999999999995</v>
      </c>
      <c r="BB45" s="328"/>
      <c r="BC45" s="327">
        <v>741.45</v>
      </c>
      <c r="BD45" s="328"/>
      <c r="BE45" s="327">
        <v>2789.3</v>
      </c>
      <c r="BF45" s="328"/>
      <c r="BG45" s="327">
        <v>0</v>
      </c>
      <c r="BH45" s="328"/>
      <c r="BI45" s="327">
        <v>0</v>
      </c>
      <c r="BJ45" s="328"/>
      <c r="BK45" s="327">
        <v>0</v>
      </c>
      <c r="BL45" s="328"/>
      <c r="BM45" s="327">
        <f t="shared" si="26"/>
        <v>6651.21</v>
      </c>
      <c r="BN45" s="328"/>
      <c r="BO45" s="327">
        <f t="shared" si="27"/>
        <v>16390.37</v>
      </c>
      <c r="BP45" s="328"/>
      <c r="BQ45" s="331">
        <v>17024.37</v>
      </c>
      <c r="BR45" s="328"/>
      <c r="BS45" s="327">
        <v>0</v>
      </c>
      <c r="BT45" s="328"/>
      <c r="BU45" s="331">
        <v>0</v>
      </c>
      <c r="BV45" s="328"/>
      <c r="BW45" s="327">
        <v>7132.42</v>
      </c>
      <c r="BX45" s="328"/>
      <c r="BY45" s="327">
        <v>0</v>
      </c>
      <c r="BZ45" s="328"/>
      <c r="CA45" s="331">
        <v>2013.88</v>
      </c>
      <c r="CB45" s="328"/>
      <c r="CC45" s="331">
        <v>0</v>
      </c>
      <c r="CD45" s="328"/>
      <c r="CE45" s="327">
        <v>0</v>
      </c>
      <c r="CF45" s="328"/>
      <c r="CG45" s="327">
        <v>0</v>
      </c>
      <c r="CH45" s="328"/>
      <c r="CI45" s="327">
        <v>0</v>
      </c>
      <c r="CJ45" s="328"/>
      <c r="CK45" s="327">
        <v>3081.76</v>
      </c>
      <c r="CL45" s="328"/>
      <c r="CM45" s="332">
        <f t="shared" si="28"/>
        <v>3081.76</v>
      </c>
      <c r="CN45" s="328"/>
      <c r="CO45" s="331">
        <v>841.13</v>
      </c>
      <c r="CP45" s="328"/>
      <c r="CQ45" s="327">
        <v>0</v>
      </c>
      <c r="CR45" s="328"/>
      <c r="CS45" s="327">
        <f t="shared" si="29"/>
        <v>30093.56</v>
      </c>
      <c r="CT45" s="328"/>
      <c r="CU45" s="327">
        <f t="shared" si="30"/>
        <v>46483.93</v>
      </c>
      <c r="CV45" s="328"/>
      <c r="CW45" s="329">
        <v>0</v>
      </c>
      <c r="CX45" s="328"/>
      <c r="CY45" s="327">
        <f t="shared" si="31"/>
        <v>104995.88</v>
      </c>
      <c r="CZ45" s="333">
        <v>8</v>
      </c>
      <c r="DA45" s="344">
        <f t="shared" si="10"/>
        <v>19879.379999999997</v>
      </c>
      <c r="DB45" s="344"/>
      <c r="DC45" s="344">
        <f t="shared" si="11"/>
        <v>23522.79</v>
      </c>
    </row>
    <row r="46" spans="1:107" ht="15" thickBot="1" x14ac:dyDescent="0.35">
      <c r="A46" s="326"/>
      <c r="B46" s="326"/>
      <c r="C46" s="326"/>
      <c r="D46" s="326"/>
      <c r="E46" s="326"/>
      <c r="F46" s="326"/>
      <c r="G46" s="326" t="s">
        <v>651</v>
      </c>
      <c r="H46" s="326"/>
      <c r="I46" s="339">
        <v>0</v>
      </c>
      <c r="J46" s="328"/>
      <c r="K46" s="339">
        <v>13237.21</v>
      </c>
      <c r="L46" s="328"/>
      <c r="M46" s="340">
        <f t="shared" si="22"/>
        <v>13237.21</v>
      </c>
      <c r="N46" s="328"/>
      <c r="O46" s="339">
        <v>0</v>
      </c>
      <c r="P46" s="328"/>
      <c r="Q46" s="339">
        <v>0</v>
      </c>
      <c r="R46" s="328"/>
      <c r="S46" s="339">
        <v>7414.28</v>
      </c>
      <c r="T46" s="328"/>
      <c r="U46" s="341">
        <f t="shared" si="23"/>
        <v>7414.28</v>
      </c>
      <c r="V46" s="328"/>
      <c r="W46" s="339">
        <v>0</v>
      </c>
      <c r="X46" s="328"/>
      <c r="Y46" s="339">
        <v>14033.6</v>
      </c>
      <c r="Z46" s="328"/>
      <c r="AA46" s="339">
        <v>0</v>
      </c>
      <c r="AB46" s="328"/>
      <c r="AC46" s="339">
        <v>0</v>
      </c>
      <c r="AD46" s="328"/>
      <c r="AE46" s="339">
        <v>0</v>
      </c>
      <c r="AF46" s="328"/>
      <c r="AG46" s="342">
        <f t="shared" si="24"/>
        <v>0</v>
      </c>
      <c r="AH46" s="328"/>
      <c r="AI46" s="339">
        <v>0</v>
      </c>
      <c r="AJ46" s="328"/>
      <c r="AK46" s="339">
        <v>0</v>
      </c>
      <c r="AL46" s="328"/>
      <c r="AM46" s="339">
        <v>0</v>
      </c>
      <c r="AN46" s="328"/>
      <c r="AO46" s="339">
        <v>0</v>
      </c>
      <c r="AP46" s="328"/>
      <c r="AQ46" s="339">
        <f t="shared" si="25"/>
        <v>0</v>
      </c>
      <c r="AR46" s="328"/>
      <c r="AS46" s="339">
        <v>0</v>
      </c>
      <c r="AT46" s="328"/>
      <c r="AU46" s="339">
        <v>0</v>
      </c>
      <c r="AV46" s="328"/>
      <c r="AW46" s="339">
        <v>2019.88</v>
      </c>
      <c r="AX46" s="328"/>
      <c r="AY46" s="339">
        <v>703.72</v>
      </c>
      <c r="AZ46" s="328"/>
      <c r="BA46" s="339">
        <v>14803.98</v>
      </c>
      <c r="BB46" s="328"/>
      <c r="BC46" s="339">
        <v>0</v>
      </c>
      <c r="BD46" s="328"/>
      <c r="BE46" s="339">
        <v>7357.71</v>
      </c>
      <c r="BF46" s="328"/>
      <c r="BG46" s="339">
        <v>0</v>
      </c>
      <c r="BH46" s="328"/>
      <c r="BI46" s="339">
        <v>0</v>
      </c>
      <c r="BJ46" s="328"/>
      <c r="BK46" s="339">
        <v>0</v>
      </c>
      <c r="BL46" s="328"/>
      <c r="BM46" s="339">
        <f t="shared" si="26"/>
        <v>24885.29</v>
      </c>
      <c r="BN46" s="328"/>
      <c r="BO46" s="339">
        <f t="shared" si="27"/>
        <v>38918.89</v>
      </c>
      <c r="BP46" s="328"/>
      <c r="BQ46" s="342">
        <v>125122.66</v>
      </c>
      <c r="BR46" s="328"/>
      <c r="BS46" s="339">
        <v>0</v>
      </c>
      <c r="BT46" s="328"/>
      <c r="BU46" s="342">
        <v>0</v>
      </c>
      <c r="BV46" s="328"/>
      <c r="BW46" s="339">
        <v>45848.54</v>
      </c>
      <c r="BX46" s="328"/>
      <c r="BY46" s="339">
        <v>0</v>
      </c>
      <c r="BZ46" s="328"/>
      <c r="CA46" s="342">
        <v>0</v>
      </c>
      <c r="CB46" s="328"/>
      <c r="CC46" s="342">
        <v>0</v>
      </c>
      <c r="CD46" s="328"/>
      <c r="CE46" s="339">
        <v>0</v>
      </c>
      <c r="CF46" s="328"/>
      <c r="CG46" s="339">
        <v>0</v>
      </c>
      <c r="CH46" s="328"/>
      <c r="CI46" s="339">
        <v>0</v>
      </c>
      <c r="CJ46" s="328"/>
      <c r="CK46" s="339">
        <v>47415.43</v>
      </c>
      <c r="CL46" s="328"/>
      <c r="CM46" s="343">
        <f t="shared" si="28"/>
        <v>47415.43</v>
      </c>
      <c r="CN46" s="328"/>
      <c r="CO46" s="342">
        <v>0</v>
      </c>
      <c r="CP46" s="328"/>
      <c r="CQ46" s="339">
        <v>0</v>
      </c>
      <c r="CR46" s="328"/>
      <c r="CS46" s="339">
        <f t="shared" si="29"/>
        <v>218386.63</v>
      </c>
      <c r="CT46" s="328"/>
      <c r="CU46" s="339">
        <f t="shared" si="30"/>
        <v>257305.52</v>
      </c>
      <c r="CV46" s="328"/>
      <c r="CW46" s="340">
        <v>0</v>
      </c>
      <c r="CX46" s="328"/>
      <c r="CY46" s="339">
        <f t="shared" si="31"/>
        <v>277957.01</v>
      </c>
      <c r="CZ46" s="333">
        <v>9</v>
      </c>
      <c r="DA46" s="344">
        <f t="shared" si="10"/>
        <v>125122.66</v>
      </c>
      <c r="DB46" s="344"/>
      <c r="DC46" s="344">
        <f t="shared" si="11"/>
        <v>84767.430000000008</v>
      </c>
    </row>
    <row r="47" spans="1:107" x14ac:dyDescent="0.3">
      <c r="A47" s="326"/>
      <c r="B47" s="326"/>
      <c r="C47" s="326"/>
      <c r="D47" s="326"/>
      <c r="E47" s="326"/>
      <c r="F47" s="326" t="s">
        <v>652</v>
      </c>
      <c r="G47" s="326"/>
      <c r="H47" s="326"/>
      <c r="I47" s="327">
        <f>ROUND(SUM(I39:I46),5)</f>
        <v>31653.96</v>
      </c>
      <c r="J47" s="328"/>
      <c r="K47" s="327">
        <f>ROUND(SUM(K39:K46),5)</f>
        <v>80615.72</v>
      </c>
      <c r="L47" s="328"/>
      <c r="M47" s="329">
        <f t="shared" si="22"/>
        <v>112269.68</v>
      </c>
      <c r="N47" s="328"/>
      <c r="O47" s="327">
        <f>ROUND(SUM(O39:O46),5)</f>
        <v>0</v>
      </c>
      <c r="P47" s="328"/>
      <c r="Q47" s="327">
        <f>ROUND(SUM(Q39:Q46),5)</f>
        <v>0</v>
      </c>
      <c r="R47" s="328"/>
      <c r="S47" s="327">
        <f>ROUND(SUM(S39:S46),5)</f>
        <v>10342.280000000001</v>
      </c>
      <c r="T47" s="328"/>
      <c r="U47" s="330">
        <f t="shared" si="23"/>
        <v>10342.280000000001</v>
      </c>
      <c r="V47" s="328"/>
      <c r="W47" s="327">
        <f>ROUND(SUM(W39:W46),5)</f>
        <v>952.89</v>
      </c>
      <c r="X47" s="328"/>
      <c r="Y47" s="327">
        <f>ROUND(SUM(Y39:Y46),5)</f>
        <v>14681.41</v>
      </c>
      <c r="Z47" s="328"/>
      <c r="AA47" s="327">
        <f>ROUND(SUM(AA39:AA46),5)</f>
        <v>0</v>
      </c>
      <c r="AB47" s="328"/>
      <c r="AC47" s="327">
        <f>ROUND(SUM(AC39:AC46),5)</f>
        <v>0</v>
      </c>
      <c r="AD47" s="328"/>
      <c r="AE47" s="327">
        <f>ROUND(SUM(AE39:AE46),5)</f>
        <v>0</v>
      </c>
      <c r="AF47" s="328"/>
      <c r="AG47" s="331">
        <f t="shared" si="24"/>
        <v>0</v>
      </c>
      <c r="AH47" s="328"/>
      <c r="AI47" s="327">
        <f>ROUND(SUM(AI39:AI46),5)</f>
        <v>0</v>
      </c>
      <c r="AJ47" s="328"/>
      <c r="AK47" s="327">
        <f>ROUND(SUM(AK39:AK46),5)</f>
        <v>3401.02</v>
      </c>
      <c r="AL47" s="328"/>
      <c r="AM47" s="327">
        <f>ROUND(SUM(AM39:AM46),5)</f>
        <v>718.84</v>
      </c>
      <c r="AN47" s="328"/>
      <c r="AO47" s="327">
        <f>ROUND(SUM(AO39:AO46),5)</f>
        <v>3232.51</v>
      </c>
      <c r="AP47" s="328"/>
      <c r="AQ47" s="327">
        <f t="shared" si="25"/>
        <v>7352.37</v>
      </c>
      <c r="AR47" s="328"/>
      <c r="AS47" s="327">
        <f>ROUND(SUM(AS39:AS46),5)</f>
        <v>786.09</v>
      </c>
      <c r="AT47" s="328"/>
      <c r="AU47" s="327">
        <f>ROUND(SUM(AU39:AU46),5)</f>
        <v>0</v>
      </c>
      <c r="AV47" s="328"/>
      <c r="AW47" s="327">
        <f>ROUND(SUM(AW39:AW46),5)</f>
        <v>4060.45</v>
      </c>
      <c r="AX47" s="328"/>
      <c r="AY47" s="327">
        <f>ROUND(SUM(AY39:AY46),5)</f>
        <v>1180.56</v>
      </c>
      <c r="AZ47" s="328"/>
      <c r="BA47" s="327">
        <f>ROUND(SUM(BA39:BA46),5)</f>
        <v>17652.03</v>
      </c>
      <c r="BB47" s="328"/>
      <c r="BC47" s="327">
        <f>ROUND(SUM(BC39:BC46),5)</f>
        <v>741.45</v>
      </c>
      <c r="BD47" s="328"/>
      <c r="BE47" s="327">
        <f>ROUND(SUM(BE39:BE46),5)</f>
        <v>10598.01</v>
      </c>
      <c r="BF47" s="328"/>
      <c r="BG47" s="327">
        <f>ROUND(SUM(BG39:BG46),5)</f>
        <v>0</v>
      </c>
      <c r="BH47" s="328"/>
      <c r="BI47" s="327">
        <f>ROUND(SUM(BI39:BI46),5)</f>
        <v>0</v>
      </c>
      <c r="BJ47" s="328"/>
      <c r="BK47" s="327">
        <f>ROUND(SUM(BK39:BK46),5)</f>
        <v>0</v>
      </c>
      <c r="BL47" s="328"/>
      <c r="BM47" s="327">
        <f t="shared" si="26"/>
        <v>34232.5</v>
      </c>
      <c r="BN47" s="328"/>
      <c r="BO47" s="327">
        <f t="shared" si="27"/>
        <v>58005.26</v>
      </c>
      <c r="BP47" s="328"/>
      <c r="BQ47" s="331">
        <f>ROUND(SUM(BQ39:BQ46),5)</f>
        <v>146820.17000000001</v>
      </c>
      <c r="BR47" s="328"/>
      <c r="BS47" s="327">
        <f>ROUND(SUM(BS39:BS46),5)</f>
        <v>0</v>
      </c>
      <c r="BT47" s="328"/>
      <c r="BU47" s="331">
        <f>ROUND(SUM(BU39:BU46),5)</f>
        <v>0</v>
      </c>
      <c r="BV47" s="328"/>
      <c r="BW47" s="327">
        <f>ROUND(SUM(BW39:BW46),5)</f>
        <v>58953.95</v>
      </c>
      <c r="BX47" s="328"/>
      <c r="BY47" s="327">
        <f>ROUND(SUM(BY39:BY46),5)</f>
        <v>0</v>
      </c>
      <c r="BZ47" s="328"/>
      <c r="CA47" s="331">
        <f>ROUND(SUM(CA39:CA46),5)</f>
        <v>2013.88</v>
      </c>
      <c r="CB47" s="328"/>
      <c r="CC47" s="331">
        <f>ROUND(SUM(CC39:CC46),5)</f>
        <v>0</v>
      </c>
      <c r="CD47" s="328"/>
      <c r="CE47" s="327">
        <f>ROUND(SUM(CE39:CE46),5)</f>
        <v>0</v>
      </c>
      <c r="CF47" s="328"/>
      <c r="CG47" s="327">
        <f>ROUND(SUM(CG39:CG46),5)</f>
        <v>0</v>
      </c>
      <c r="CH47" s="328"/>
      <c r="CI47" s="327">
        <f>ROUND(SUM(CI39:CI46),5)</f>
        <v>0</v>
      </c>
      <c r="CJ47" s="328"/>
      <c r="CK47" s="327">
        <f>ROUND(SUM(CK39:CK46),5)</f>
        <v>51542.78</v>
      </c>
      <c r="CL47" s="328"/>
      <c r="CM47" s="332">
        <f t="shared" si="28"/>
        <v>51542.78</v>
      </c>
      <c r="CN47" s="328"/>
      <c r="CO47" s="331">
        <f>ROUND(SUM(CO39:CO46),5)</f>
        <v>49381.17</v>
      </c>
      <c r="CP47" s="328"/>
      <c r="CQ47" s="327">
        <f>ROUND(SUM(CQ39:CQ46),5)</f>
        <v>0</v>
      </c>
      <c r="CR47" s="328"/>
      <c r="CS47" s="327">
        <f t="shared" si="29"/>
        <v>308711.95</v>
      </c>
      <c r="CT47" s="328"/>
      <c r="CU47" s="327">
        <f t="shared" si="30"/>
        <v>366717.21</v>
      </c>
      <c r="CV47" s="328"/>
      <c r="CW47" s="329">
        <f>ROUND(SUM(CW39:CW46),5)</f>
        <v>0</v>
      </c>
      <c r="CX47" s="328"/>
      <c r="CY47" s="327">
        <f t="shared" si="31"/>
        <v>489329.17</v>
      </c>
      <c r="DA47" s="344">
        <f t="shared" si="10"/>
        <v>198215.22</v>
      </c>
      <c r="DB47" s="344"/>
      <c r="DC47" s="344">
        <f t="shared" si="11"/>
        <v>116959.20999999999</v>
      </c>
    </row>
    <row r="48" spans="1:107" x14ac:dyDescent="0.3">
      <c r="A48" s="326"/>
      <c r="B48" s="326"/>
      <c r="C48" s="326"/>
      <c r="D48" s="326"/>
      <c r="E48" s="326"/>
      <c r="F48" s="326" t="s">
        <v>653</v>
      </c>
      <c r="G48" s="326"/>
      <c r="H48" s="326"/>
      <c r="I48" s="327"/>
      <c r="J48" s="328"/>
      <c r="K48" s="327"/>
      <c r="L48" s="328"/>
      <c r="M48" s="329"/>
      <c r="N48" s="328"/>
      <c r="O48" s="327"/>
      <c r="P48" s="328"/>
      <c r="Q48" s="327"/>
      <c r="R48" s="328"/>
      <c r="S48" s="327"/>
      <c r="T48" s="328"/>
      <c r="U48" s="330"/>
      <c r="V48" s="328"/>
      <c r="W48" s="327"/>
      <c r="X48" s="328"/>
      <c r="Y48" s="327"/>
      <c r="Z48" s="328"/>
      <c r="AA48" s="327"/>
      <c r="AB48" s="328"/>
      <c r="AC48" s="327"/>
      <c r="AD48" s="328"/>
      <c r="AE48" s="327"/>
      <c r="AF48" s="328"/>
      <c r="AG48" s="331"/>
      <c r="AH48" s="328"/>
      <c r="AI48" s="327"/>
      <c r="AJ48" s="328"/>
      <c r="AK48" s="327"/>
      <c r="AL48" s="328"/>
      <c r="AM48" s="327"/>
      <c r="AN48" s="328"/>
      <c r="AO48" s="327"/>
      <c r="AP48" s="328"/>
      <c r="AQ48" s="327"/>
      <c r="AR48" s="328"/>
      <c r="AS48" s="327"/>
      <c r="AT48" s="328"/>
      <c r="AU48" s="327"/>
      <c r="AV48" s="328"/>
      <c r="AW48" s="327"/>
      <c r="AX48" s="328"/>
      <c r="AY48" s="327"/>
      <c r="AZ48" s="328"/>
      <c r="BA48" s="327"/>
      <c r="BB48" s="328"/>
      <c r="BC48" s="327"/>
      <c r="BD48" s="328"/>
      <c r="BE48" s="327"/>
      <c r="BF48" s="328"/>
      <c r="BG48" s="327"/>
      <c r="BH48" s="328"/>
      <c r="BI48" s="327"/>
      <c r="BJ48" s="328"/>
      <c r="BK48" s="327"/>
      <c r="BL48" s="328"/>
      <c r="BM48" s="327"/>
      <c r="BN48" s="328"/>
      <c r="BO48" s="327"/>
      <c r="BP48" s="328"/>
      <c r="BQ48" s="331"/>
      <c r="BR48" s="328"/>
      <c r="BS48" s="327"/>
      <c r="BT48" s="328"/>
      <c r="BU48" s="331"/>
      <c r="BV48" s="328"/>
      <c r="BW48" s="327"/>
      <c r="BX48" s="328"/>
      <c r="BY48" s="327"/>
      <c r="BZ48" s="328"/>
      <c r="CA48" s="331"/>
      <c r="CB48" s="328"/>
      <c r="CC48" s="331"/>
      <c r="CD48" s="328"/>
      <c r="CE48" s="327"/>
      <c r="CF48" s="328"/>
      <c r="CG48" s="327"/>
      <c r="CH48" s="328"/>
      <c r="CI48" s="327"/>
      <c r="CJ48" s="328"/>
      <c r="CK48" s="327"/>
      <c r="CL48" s="328"/>
      <c r="CM48" s="332"/>
      <c r="CN48" s="328"/>
      <c r="CO48" s="331"/>
      <c r="CP48" s="328"/>
      <c r="CQ48" s="327"/>
      <c r="CR48" s="328"/>
      <c r="CS48" s="327"/>
      <c r="CT48" s="328"/>
      <c r="CU48" s="327"/>
      <c r="CV48" s="328"/>
      <c r="CW48" s="329"/>
      <c r="CX48" s="328"/>
      <c r="CY48" s="327"/>
      <c r="DA48" s="344">
        <f t="shared" si="10"/>
        <v>0</v>
      </c>
      <c r="DB48" s="344"/>
      <c r="DC48" s="344">
        <f t="shared" si="11"/>
        <v>0</v>
      </c>
    </row>
    <row r="49" spans="1:107" x14ac:dyDescent="0.3">
      <c r="A49" s="326"/>
      <c r="B49" s="326"/>
      <c r="C49" s="326"/>
      <c r="D49" s="326"/>
      <c r="E49" s="326"/>
      <c r="F49" s="326"/>
      <c r="G49" s="326" t="s">
        <v>654</v>
      </c>
      <c r="H49" s="326"/>
      <c r="I49" s="327"/>
      <c r="J49" s="328"/>
      <c r="K49" s="327"/>
      <c r="L49" s="328"/>
      <c r="M49" s="329"/>
      <c r="N49" s="328"/>
      <c r="O49" s="327"/>
      <c r="P49" s="328"/>
      <c r="Q49" s="327"/>
      <c r="R49" s="328"/>
      <c r="S49" s="327"/>
      <c r="T49" s="328"/>
      <c r="U49" s="330"/>
      <c r="V49" s="328"/>
      <c r="W49" s="327"/>
      <c r="X49" s="328"/>
      <c r="Y49" s="327"/>
      <c r="Z49" s="328"/>
      <c r="AA49" s="327"/>
      <c r="AB49" s="328"/>
      <c r="AC49" s="327"/>
      <c r="AD49" s="328"/>
      <c r="AE49" s="327"/>
      <c r="AF49" s="328"/>
      <c r="AG49" s="331"/>
      <c r="AH49" s="328"/>
      <c r="AI49" s="327"/>
      <c r="AJ49" s="328"/>
      <c r="AK49" s="327"/>
      <c r="AL49" s="328"/>
      <c r="AM49" s="327"/>
      <c r="AN49" s="328"/>
      <c r="AO49" s="327"/>
      <c r="AP49" s="328"/>
      <c r="AQ49" s="327"/>
      <c r="AR49" s="328"/>
      <c r="AS49" s="327"/>
      <c r="AT49" s="328"/>
      <c r="AU49" s="327"/>
      <c r="AV49" s="328"/>
      <c r="AW49" s="327"/>
      <c r="AX49" s="328"/>
      <c r="AY49" s="327"/>
      <c r="AZ49" s="328"/>
      <c r="BA49" s="327"/>
      <c r="BB49" s="328"/>
      <c r="BC49" s="327"/>
      <c r="BD49" s="328"/>
      <c r="BE49" s="327"/>
      <c r="BF49" s="328"/>
      <c r="BG49" s="327"/>
      <c r="BH49" s="328"/>
      <c r="BI49" s="327"/>
      <c r="BJ49" s="328"/>
      <c r="BK49" s="327"/>
      <c r="BL49" s="328"/>
      <c r="BM49" s="327"/>
      <c r="BN49" s="328"/>
      <c r="BO49" s="327"/>
      <c r="BP49" s="328"/>
      <c r="BQ49" s="331"/>
      <c r="BR49" s="328"/>
      <c r="BS49" s="327"/>
      <c r="BT49" s="328"/>
      <c r="BU49" s="331"/>
      <c r="BV49" s="328"/>
      <c r="BW49" s="327"/>
      <c r="BX49" s="328"/>
      <c r="BY49" s="327"/>
      <c r="BZ49" s="328"/>
      <c r="CA49" s="331"/>
      <c r="CB49" s="328"/>
      <c r="CC49" s="331"/>
      <c r="CD49" s="328"/>
      <c r="CE49" s="327"/>
      <c r="CF49" s="328"/>
      <c r="CG49" s="327"/>
      <c r="CH49" s="328"/>
      <c r="CI49" s="327"/>
      <c r="CJ49" s="328"/>
      <c r="CK49" s="327"/>
      <c r="CL49" s="328"/>
      <c r="CM49" s="332"/>
      <c r="CN49" s="328"/>
      <c r="CO49" s="331"/>
      <c r="CP49" s="328"/>
      <c r="CQ49" s="327"/>
      <c r="CR49" s="328"/>
      <c r="CS49" s="327"/>
      <c r="CT49" s="328"/>
      <c r="CU49" s="327"/>
      <c r="CV49" s="328"/>
      <c r="CW49" s="329"/>
      <c r="CX49" s="328"/>
      <c r="CY49" s="327"/>
      <c r="DA49" s="344">
        <f t="shared" si="10"/>
        <v>0</v>
      </c>
      <c r="DB49" s="344"/>
      <c r="DC49" s="344">
        <f t="shared" si="11"/>
        <v>0</v>
      </c>
    </row>
    <row r="50" spans="1:107" x14ac:dyDescent="0.3">
      <c r="A50" s="326"/>
      <c r="B50" s="326"/>
      <c r="C50" s="326"/>
      <c r="D50" s="326"/>
      <c r="E50" s="326"/>
      <c r="F50" s="326"/>
      <c r="G50" s="326"/>
      <c r="H50" s="326" t="s">
        <v>655</v>
      </c>
      <c r="I50" s="327">
        <v>0</v>
      </c>
      <c r="J50" s="328"/>
      <c r="K50" s="327">
        <v>-1371.89</v>
      </c>
      <c r="L50" s="328"/>
      <c r="M50" s="329">
        <f t="shared" ref="M50:M58" si="32">ROUND(SUM(I50:K50),5)</f>
        <v>-1371.89</v>
      </c>
      <c r="N50" s="328"/>
      <c r="O50" s="327">
        <v>0</v>
      </c>
      <c r="P50" s="328"/>
      <c r="Q50" s="327">
        <v>0</v>
      </c>
      <c r="R50" s="328"/>
      <c r="S50" s="327">
        <v>1816.19</v>
      </c>
      <c r="T50" s="328"/>
      <c r="U50" s="330">
        <f t="shared" ref="U50:U58" si="33">ROUND(SUM(O50:S50),5)</f>
        <v>1816.19</v>
      </c>
      <c r="V50" s="328"/>
      <c r="W50" s="327">
        <v>1464.9</v>
      </c>
      <c r="X50" s="328"/>
      <c r="Y50" s="327">
        <v>2151.4699999999998</v>
      </c>
      <c r="Z50" s="328"/>
      <c r="AA50" s="327">
        <v>0</v>
      </c>
      <c r="AB50" s="328"/>
      <c r="AC50" s="327">
        <v>0</v>
      </c>
      <c r="AD50" s="328"/>
      <c r="AE50" s="327">
        <v>0</v>
      </c>
      <c r="AF50" s="328"/>
      <c r="AG50" s="331">
        <f t="shared" ref="AG50:AG58" si="34">ROUND(SUM(AA50:AE50),5)</f>
        <v>0</v>
      </c>
      <c r="AH50" s="328"/>
      <c r="AI50" s="327">
        <v>1490.02</v>
      </c>
      <c r="AJ50" s="328"/>
      <c r="AK50" s="327">
        <v>4582.93</v>
      </c>
      <c r="AL50" s="328"/>
      <c r="AM50" s="327">
        <v>3625.4</v>
      </c>
      <c r="AN50" s="328"/>
      <c r="AO50" s="327">
        <v>8042.82</v>
      </c>
      <c r="AP50" s="328"/>
      <c r="AQ50" s="327">
        <f t="shared" ref="AQ50:AQ58" si="35">ROUND(SUM(AI50:AO50),5)</f>
        <v>17741.169999999998</v>
      </c>
      <c r="AR50" s="328"/>
      <c r="AS50" s="327">
        <v>609</v>
      </c>
      <c r="AT50" s="328"/>
      <c r="AU50" s="327">
        <v>0</v>
      </c>
      <c r="AV50" s="328"/>
      <c r="AW50" s="327">
        <v>1160.67</v>
      </c>
      <c r="AX50" s="328"/>
      <c r="AY50" s="327">
        <v>600.48</v>
      </c>
      <c r="AZ50" s="328"/>
      <c r="BA50" s="327">
        <v>2041.79</v>
      </c>
      <c r="BB50" s="328"/>
      <c r="BC50" s="327">
        <v>1430</v>
      </c>
      <c r="BD50" s="328"/>
      <c r="BE50" s="327">
        <v>7326.79</v>
      </c>
      <c r="BF50" s="328"/>
      <c r="BG50" s="327">
        <v>0</v>
      </c>
      <c r="BH50" s="328"/>
      <c r="BI50" s="327">
        <v>0</v>
      </c>
      <c r="BJ50" s="328"/>
      <c r="BK50" s="327">
        <v>0</v>
      </c>
      <c r="BL50" s="328"/>
      <c r="BM50" s="327">
        <f t="shared" ref="BM50:BM58" si="36">ROUND(SUM(AU50:BK50),5)</f>
        <v>12559.73</v>
      </c>
      <c r="BN50" s="328"/>
      <c r="BO50" s="327">
        <f t="shared" ref="BO50:BO58" si="37">ROUND(SUM(W50:Y50)+AG50+SUM(AQ50:AS50)+BM50,5)</f>
        <v>34526.269999999997</v>
      </c>
      <c r="BP50" s="328"/>
      <c r="BQ50" s="331">
        <v>11927.17</v>
      </c>
      <c r="BR50" s="328"/>
      <c r="BS50" s="327">
        <v>0</v>
      </c>
      <c r="BT50" s="328"/>
      <c r="BU50" s="331">
        <v>611.61</v>
      </c>
      <c r="BV50" s="328"/>
      <c r="BW50" s="327">
        <v>10507.7</v>
      </c>
      <c r="BX50" s="328"/>
      <c r="BY50" s="327">
        <v>0</v>
      </c>
      <c r="BZ50" s="328"/>
      <c r="CA50" s="331">
        <v>16352.73</v>
      </c>
      <c r="CB50" s="328"/>
      <c r="CC50" s="331">
        <v>0</v>
      </c>
      <c r="CD50" s="328"/>
      <c r="CE50" s="327">
        <v>0</v>
      </c>
      <c r="CF50" s="328"/>
      <c r="CG50" s="327">
        <v>0</v>
      </c>
      <c r="CH50" s="328"/>
      <c r="CI50" s="327">
        <v>0</v>
      </c>
      <c r="CJ50" s="328"/>
      <c r="CK50" s="327">
        <v>3321.33</v>
      </c>
      <c r="CL50" s="328"/>
      <c r="CM50" s="332">
        <f t="shared" ref="CM50:CM58" si="38">ROUND(SUM(CE50:CK50),5)</f>
        <v>3321.33</v>
      </c>
      <c r="CN50" s="328"/>
      <c r="CO50" s="331">
        <v>0</v>
      </c>
      <c r="CP50" s="328"/>
      <c r="CQ50" s="327">
        <v>0</v>
      </c>
      <c r="CR50" s="328"/>
      <c r="CS50" s="327">
        <f t="shared" ref="CS50:CS58" si="39">ROUND(SUM(BQ50:CC50)+SUM(CM50:CQ50),5)</f>
        <v>42720.54</v>
      </c>
      <c r="CT50" s="328"/>
      <c r="CU50" s="327">
        <f t="shared" ref="CU50:CU58" si="40">ROUND(BO50+CS50,5)</f>
        <v>77246.81</v>
      </c>
      <c r="CV50" s="328"/>
      <c r="CW50" s="329">
        <v>15133.87</v>
      </c>
      <c r="CX50" s="328"/>
      <c r="CY50" s="327">
        <f t="shared" ref="CY50:CY58" si="41">ROUND(M50+U50+SUM(CU50:CW50),5)</f>
        <v>92824.98</v>
      </c>
      <c r="CZ50" s="333">
        <v>3</v>
      </c>
      <c r="DA50" s="344">
        <f t="shared" si="10"/>
        <v>28891.510000000002</v>
      </c>
      <c r="DB50" s="344"/>
      <c r="DC50" s="344">
        <f t="shared" si="11"/>
        <v>45033.97</v>
      </c>
    </row>
    <row r="51" spans="1:107" x14ac:dyDescent="0.3">
      <c r="A51" s="326"/>
      <c r="B51" s="326"/>
      <c r="C51" s="326"/>
      <c r="D51" s="326"/>
      <c r="E51" s="326"/>
      <c r="F51" s="326"/>
      <c r="G51" s="326"/>
      <c r="H51" s="326" t="s">
        <v>656</v>
      </c>
      <c r="I51" s="327">
        <v>0</v>
      </c>
      <c r="J51" s="328"/>
      <c r="K51" s="327">
        <v>19630.419999999998</v>
      </c>
      <c r="L51" s="328"/>
      <c r="M51" s="329">
        <f t="shared" si="32"/>
        <v>19630.419999999998</v>
      </c>
      <c r="N51" s="328"/>
      <c r="O51" s="327">
        <v>0</v>
      </c>
      <c r="P51" s="328"/>
      <c r="Q51" s="327">
        <v>0</v>
      </c>
      <c r="R51" s="328"/>
      <c r="S51" s="327">
        <v>10256.31</v>
      </c>
      <c r="T51" s="328"/>
      <c r="U51" s="330">
        <f t="shared" si="33"/>
        <v>10256.31</v>
      </c>
      <c r="V51" s="328"/>
      <c r="W51" s="327">
        <v>7741.32</v>
      </c>
      <c r="X51" s="328"/>
      <c r="Y51" s="327">
        <v>9228.85</v>
      </c>
      <c r="Z51" s="328"/>
      <c r="AA51" s="327">
        <v>0</v>
      </c>
      <c r="AB51" s="328"/>
      <c r="AC51" s="327">
        <v>0</v>
      </c>
      <c r="AD51" s="328"/>
      <c r="AE51" s="327">
        <v>0</v>
      </c>
      <c r="AF51" s="328"/>
      <c r="AG51" s="331">
        <f t="shared" si="34"/>
        <v>0</v>
      </c>
      <c r="AH51" s="328"/>
      <c r="AI51" s="327">
        <v>7313.57</v>
      </c>
      <c r="AJ51" s="328"/>
      <c r="AK51" s="327">
        <v>16474.689999999999</v>
      </c>
      <c r="AL51" s="328"/>
      <c r="AM51" s="327">
        <v>18275.990000000002</v>
      </c>
      <c r="AN51" s="328"/>
      <c r="AO51" s="327">
        <v>35157.160000000003</v>
      </c>
      <c r="AP51" s="328"/>
      <c r="AQ51" s="327">
        <f t="shared" si="35"/>
        <v>77221.41</v>
      </c>
      <c r="AR51" s="328"/>
      <c r="AS51" s="327">
        <v>2685</v>
      </c>
      <c r="AT51" s="328"/>
      <c r="AU51" s="327">
        <v>0</v>
      </c>
      <c r="AV51" s="328"/>
      <c r="AW51" s="327">
        <v>7425.58</v>
      </c>
      <c r="AX51" s="328"/>
      <c r="AY51" s="327">
        <v>3482.03</v>
      </c>
      <c r="AZ51" s="328"/>
      <c r="BA51" s="327">
        <v>8154.6</v>
      </c>
      <c r="BB51" s="328"/>
      <c r="BC51" s="327">
        <v>5622</v>
      </c>
      <c r="BD51" s="328"/>
      <c r="BE51" s="327">
        <v>32112.71</v>
      </c>
      <c r="BF51" s="328"/>
      <c r="BG51" s="327">
        <v>0</v>
      </c>
      <c r="BH51" s="328"/>
      <c r="BI51" s="327">
        <v>0</v>
      </c>
      <c r="BJ51" s="328"/>
      <c r="BK51" s="327">
        <v>0</v>
      </c>
      <c r="BL51" s="328"/>
      <c r="BM51" s="327">
        <f t="shared" si="36"/>
        <v>56796.92</v>
      </c>
      <c r="BN51" s="328"/>
      <c r="BO51" s="327">
        <f t="shared" si="37"/>
        <v>153673.5</v>
      </c>
      <c r="BP51" s="328"/>
      <c r="BQ51" s="331">
        <v>68136.28</v>
      </c>
      <c r="BR51" s="328"/>
      <c r="BS51" s="327">
        <v>0</v>
      </c>
      <c r="BT51" s="328"/>
      <c r="BU51" s="331">
        <v>3514.74</v>
      </c>
      <c r="BV51" s="328"/>
      <c r="BW51" s="327">
        <v>47391</v>
      </c>
      <c r="BX51" s="328"/>
      <c r="BY51" s="327">
        <v>0</v>
      </c>
      <c r="BZ51" s="328"/>
      <c r="CA51" s="331">
        <v>59027.77</v>
      </c>
      <c r="CB51" s="328"/>
      <c r="CC51" s="331">
        <v>0</v>
      </c>
      <c r="CD51" s="328"/>
      <c r="CE51" s="327">
        <v>0</v>
      </c>
      <c r="CF51" s="328"/>
      <c r="CG51" s="327">
        <v>0</v>
      </c>
      <c r="CH51" s="328"/>
      <c r="CI51" s="327">
        <v>0</v>
      </c>
      <c r="CJ51" s="328"/>
      <c r="CK51" s="327">
        <v>19395.48</v>
      </c>
      <c r="CL51" s="328"/>
      <c r="CM51" s="332">
        <f t="shared" si="38"/>
        <v>19395.48</v>
      </c>
      <c r="CN51" s="328"/>
      <c r="CO51" s="331">
        <v>0</v>
      </c>
      <c r="CP51" s="328"/>
      <c r="CQ51" s="327">
        <v>0</v>
      </c>
      <c r="CR51" s="328"/>
      <c r="CS51" s="327">
        <f t="shared" si="39"/>
        <v>197465.27</v>
      </c>
      <c r="CT51" s="328"/>
      <c r="CU51" s="327">
        <f t="shared" si="40"/>
        <v>351138.77</v>
      </c>
      <c r="CV51" s="328"/>
      <c r="CW51" s="329">
        <v>0</v>
      </c>
      <c r="CX51" s="328"/>
      <c r="CY51" s="327">
        <f t="shared" si="41"/>
        <v>381025.5</v>
      </c>
      <c r="CZ51" s="333">
        <v>3</v>
      </c>
      <c r="DA51" s="344">
        <f t="shared" si="10"/>
        <v>130678.79</v>
      </c>
      <c r="DB51" s="344"/>
      <c r="DC51" s="344">
        <f t="shared" si="11"/>
        <v>201064.50000000003</v>
      </c>
    </row>
    <row r="52" spans="1:107" x14ac:dyDescent="0.3">
      <c r="A52" s="326"/>
      <c r="B52" s="326"/>
      <c r="C52" s="326"/>
      <c r="D52" s="326"/>
      <c r="E52" s="326"/>
      <c r="F52" s="326"/>
      <c r="G52" s="326"/>
      <c r="H52" s="326" t="s">
        <v>657</v>
      </c>
      <c r="I52" s="327">
        <v>0</v>
      </c>
      <c r="J52" s="328"/>
      <c r="K52" s="327">
        <v>47156.07</v>
      </c>
      <c r="L52" s="328"/>
      <c r="M52" s="329">
        <f t="shared" si="32"/>
        <v>47156.07</v>
      </c>
      <c r="N52" s="328"/>
      <c r="O52" s="327">
        <v>0</v>
      </c>
      <c r="P52" s="328"/>
      <c r="Q52" s="327">
        <v>0</v>
      </c>
      <c r="R52" s="328"/>
      <c r="S52" s="327">
        <v>1790.37</v>
      </c>
      <c r="T52" s="328"/>
      <c r="U52" s="330">
        <f t="shared" si="33"/>
        <v>1790.37</v>
      </c>
      <c r="V52" s="328"/>
      <c r="W52" s="327">
        <v>0</v>
      </c>
      <c r="X52" s="328"/>
      <c r="Y52" s="327">
        <v>0</v>
      </c>
      <c r="Z52" s="328"/>
      <c r="AA52" s="327">
        <v>0</v>
      </c>
      <c r="AB52" s="328"/>
      <c r="AC52" s="327">
        <v>0</v>
      </c>
      <c r="AD52" s="328"/>
      <c r="AE52" s="327">
        <v>0</v>
      </c>
      <c r="AF52" s="328"/>
      <c r="AG52" s="331">
        <f t="shared" si="34"/>
        <v>0</v>
      </c>
      <c r="AH52" s="328"/>
      <c r="AI52" s="327">
        <v>0</v>
      </c>
      <c r="AJ52" s="328"/>
      <c r="AK52" s="327">
        <v>0</v>
      </c>
      <c r="AL52" s="328"/>
      <c r="AM52" s="327">
        <v>0</v>
      </c>
      <c r="AN52" s="328"/>
      <c r="AO52" s="327">
        <v>0</v>
      </c>
      <c r="AP52" s="328"/>
      <c r="AQ52" s="327">
        <f t="shared" si="35"/>
        <v>0</v>
      </c>
      <c r="AR52" s="328"/>
      <c r="AS52" s="327">
        <v>0</v>
      </c>
      <c r="AT52" s="328"/>
      <c r="AU52" s="327">
        <v>0</v>
      </c>
      <c r="AV52" s="328"/>
      <c r="AW52" s="327">
        <v>0</v>
      </c>
      <c r="AX52" s="328"/>
      <c r="AY52" s="327">
        <v>0</v>
      </c>
      <c r="AZ52" s="328"/>
      <c r="BA52" s="327">
        <v>0</v>
      </c>
      <c r="BB52" s="328"/>
      <c r="BC52" s="327">
        <v>0</v>
      </c>
      <c r="BD52" s="328"/>
      <c r="BE52" s="327">
        <v>0</v>
      </c>
      <c r="BF52" s="328"/>
      <c r="BG52" s="327">
        <v>0</v>
      </c>
      <c r="BH52" s="328"/>
      <c r="BI52" s="327">
        <v>0</v>
      </c>
      <c r="BJ52" s="328"/>
      <c r="BK52" s="327">
        <v>0</v>
      </c>
      <c r="BL52" s="328"/>
      <c r="BM52" s="327">
        <f t="shared" si="36"/>
        <v>0</v>
      </c>
      <c r="BN52" s="328"/>
      <c r="BO52" s="327">
        <f t="shared" si="37"/>
        <v>0</v>
      </c>
      <c r="BP52" s="328"/>
      <c r="BQ52" s="331">
        <v>11830.45</v>
      </c>
      <c r="BR52" s="328"/>
      <c r="BS52" s="327">
        <v>0</v>
      </c>
      <c r="BT52" s="328"/>
      <c r="BU52" s="331">
        <v>590.71</v>
      </c>
      <c r="BV52" s="328"/>
      <c r="BW52" s="327">
        <v>9565.0499999999993</v>
      </c>
      <c r="BX52" s="328"/>
      <c r="BY52" s="327">
        <v>0</v>
      </c>
      <c r="BZ52" s="328"/>
      <c r="CA52" s="331">
        <v>0</v>
      </c>
      <c r="CB52" s="328"/>
      <c r="CC52" s="331">
        <v>0</v>
      </c>
      <c r="CD52" s="328"/>
      <c r="CE52" s="327">
        <v>0</v>
      </c>
      <c r="CF52" s="328"/>
      <c r="CG52" s="327">
        <v>0</v>
      </c>
      <c r="CH52" s="328"/>
      <c r="CI52" s="327">
        <v>0</v>
      </c>
      <c r="CJ52" s="328"/>
      <c r="CK52" s="327">
        <v>3313.73</v>
      </c>
      <c r="CL52" s="328"/>
      <c r="CM52" s="332">
        <f t="shared" si="38"/>
        <v>3313.73</v>
      </c>
      <c r="CN52" s="328"/>
      <c r="CO52" s="331">
        <v>0</v>
      </c>
      <c r="CP52" s="328"/>
      <c r="CQ52" s="327">
        <v>0</v>
      </c>
      <c r="CR52" s="328"/>
      <c r="CS52" s="327">
        <f t="shared" si="39"/>
        <v>25299.94</v>
      </c>
      <c r="CT52" s="328"/>
      <c r="CU52" s="327">
        <f t="shared" si="40"/>
        <v>25299.94</v>
      </c>
      <c r="CV52" s="328"/>
      <c r="CW52" s="329">
        <v>0</v>
      </c>
      <c r="CX52" s="328"/>
      <c r="CY52" s="327">
        <f t="shared" si="41"/>
        <v>74246.38</v>
      </c>
      <c r="CZ52" s="333">
        <v>3</v>
      </c>
      <c r="DA52" s="344">
        <f t="shared" si="10"/>
        <v>12421.16</v>
      </c>
      <c r="DB52" s="344"/>
      <c r="DC52" s="344">
        <f t="shared" si="11"/>
        <v>9565.0499999999993</v>
      </c>
    </row>
    <row r="53" spans="1:107" ht="15" thickBot="1" x14ac:dyDescent="0.35">
      <c r="A53" s="326"/>
      <c r="B53" s="326"/>
      <c r="C53" s="326"/>
      <c r="D53" s="326"/>
      <c r="E53" s="326"/>
      <c r="F53" s="326"/>
      <c r="G53" s="326"/>
      <c r="H53" s="326" t="s">
        <v>658</v>
      </c>
      <c r="I53" s="339">
        <v>0</v>
      </c>
      <c r="J53" s="328"/>
      <c r="K53" s="339">
        <v>12635.07</v>
      </c>
      <c r="L53" s="328"/>
      <c r="M53" s="357">
        <f t="shared" si="32"/>
        <v>12635.07</v>
      </c>
      <c r="N53" s="328"/>
      <c r="O53" s="339">
        <v>0</v>
      </c>
      <c r="P53" s="328"/>
      <c r="Q53" s="339">
        <v>0</v>
      </c>
      <c r="R53" s="328"/>
      <c r="S53" s="339">
        <v>7261.89</v>
      </c>
      <c r="T53" s="328"/>
      <c r="U53" s="357">
        <f t="shared" si="33"/>
        <v>7261.89</v>
      </c>
      <c r="V53" s="328"/>
      <c r="W53" s="339">
        <v>4976.75</v>
      </c>
      <c r="X53" s="328"/>
      <c r="Y53" s="339">
        <v>6716.02</v>
      </c>
      <c r="Z53" s="328"/>
      <c r="AA53" s="339">
        <v>0</v>
      </c>
      <c r="AB53" s="328"/>
      <c r="AC53" s="339">
        <v>0</v>
      </c>
      <c r="AD53" s="328"/>
      <c r="AE53" s="339">
        <v>0</v>
      </c>
      <c r="AF53" s="328"/>
      <c r="AG53" s="342">
        <f t="shared" si="34"/>
        <v>0</v>
      </c>
      <c r="AH53" s="328"/>
      <c r="AI53" s="339">
        <v>4791.28</v>
      </c>
      <c r="AJ53" s="328"/>
      <c r="AK53" s="339">
        <v>10466.57</v>
      </c>
      <c r="AL53" s="328"/>
      <c r="AM53" s="339">
        <v>11965.15</v>
      </c>
      <c r="AN53" s="328"/>
      <c r="AO53" s="339">
        <v>26445.14</v>
      </c>
      <c r="AP53" s="328"/>
      <c r="AQ53" s="339">
        <f t="shared" si="35"/>
        <v>53668.14</v>
      </c>
      <c r="AR53" s="328"/>
      <c r="AS53" s="339">
        <v>1904</v>
      </c>
      <c r="AT53" s="328"/>
      <c r="AU53" s="339">
        <v>0</v>
      </c>
      <c r="AV53" s="328"/>
      <c r="AW53" s="339">
        <v>4767.46</v>
      </c>
      <c r="AX53" s="328"/>
      <c r="AY53" s="339">
        <v>2189.09</v>
      </c>
      <c r="AZ53" s="328"/>
      <c r="BA53" s="339">
        <v>5601</v>
      </c>
      <c r="BB53" s="328"/>
      <c r="BC53" s="339">
        <v>4364</v>
      </c>
      <c r="BD53" s="328"/>
      <c r="BE53" s="339">
        <v>23816.07</v>
      </c>
      <c r="BF53" s="328"/>
      <c r="BG53" s="339">
        <v>0</v>
      </c>
      <c r="BH53" s="328"/>
      <c r="BI53" s="339">
        <v>0</v>
      </c>
      <c r="BJ53" s="328"/>
      <c r="BK53" s="339">
        <v>0</v>
      </c>
      <c r="BL53" s="328"/>
      <c r="BM53" s="339">
        <f t="shared" si="36"/>
        <v>40737.620000000003</v>
      </c>
      <c r="BN53" s="328"/>
      <c r="BO53" s="339">
        <f t="shared" si="37"/>
        <v>108002.53</v>
      </c>
      <c r="BP53" s="328"/>
      <c r="BQ53" s="342">
        <v>47473.32</v>
      </c>
      <c r="BR53" s="328"/>
      <c r="BS53" s="339">
        <v>0</v>
      </c>
      <c r="BT53" s="328"/>
      <c r="BU53" s="342">
        <v>2480.02</v>
      </c>
      <c r="BV53" s="328"/>
      <c r="BW53" s="339">
        <v>39456.959999999999</v>
      </c>
      <c r="BX53" s="328"/>
      <c r="BY53" s="339">
        <v>0</v>
      </c>
      <c r="BZ53" s="328"/>
      <c r="CA53" s="342">
        <v>41523.120000000003</v>
      </c>
      <c r="CB53" s="328"/>
      <c r="CC53" s="342">
        <v>0</v>
      </c>
      <c r="CD53" s="328"/>
      <c r="CE53" s="339">
        <v>0</v>
      </c>
      <c r="CF53" s="328"/>
      <c r="CG53" s="339">
        <v>0</v>
      </c>
      <c r="CH53" s="328"/>
      <c r="CI53" s="339">
        <v>0</v>
      </c>
      <c r="CJ53" s="328"/>
      <c r="CK53" s="339">
        <v>13408.46</v>
      </c>
      <c r="CL53" s="328"/>
      <c r="CM53" s="343">
        <f t="shared" si="38"/>
        <v>13408.46</v>
      </c>
      <c r="CN53" s="328"/>
      <c r="CO53" s="342">
        <v>0</v>
      </c>
      <c r="CP53" s="328"/>
      <c r="CQ53" s="339">
        <v>0</v>
      </c>
      <c r="CR53" s="328"/>
      <c r="CS53" s="339">
        <f t="shared" si="39"/>
        <v>144341.88</v>
      </c>
      <c r="CT53" s="328"/>
      <c r="CU53" s="357">
        <f t="shared" si="40"/>
        <v>252344.41</v>
      </c>
      <c r="CV53" s="328"/>
      <c r="CW53" s="340">
        <v>0</v>
      </c>
      <c r="CX53" s="328"/>
      <c r="CY53" s="339">
        <f t="shared" si="41"/>
        <v>272241.37</v>
      </c>
      <c r="CZ53" s="333">
        <v>2</v>
      </c>
      <c r="DA53" s="344">
        <f t="shared" si="10"/>
        <v>91476.459999999992</v>
      </c>
      <c r="DB53" s="344"/>
      <c r="DC53" s="344">
        <f t="shared" si="11"/>
        <v>147459.49</v>
      </c>
    </row>
    <row r="54" spans="1:107" x14ac:dyDescent="0.3">
      <c r="A54" s="326"/>
      <c r="B54" s="326"/>
      <c r="C54" s="326"/>
      <c r="D54" s="326"/>
      <c r="E54" s="326"/>
      <c r="F54" s="326"/>
      <c r="G54" s="326" t="s">
        <v>659</v>
      </c>
      <c r="H54" s="326"/>
      <c r="I54" s="327">
        <f>ROUND(SUM(I49:I53),5)</f>
        <v>0</v>
      </c>
      <c r="J54" s="328"/>
      <c r="K54" s="327">
        <f>ROUND(SUM(K49:K53),5)</f>
        <v>78049.67</v>
      </c>
      <c r="L54" s="328"/>
      <c r="M54" s="329">
        <f t="shared" si="32"/>
        <v>78049.67</v>
      </c>
      <c r="N54" s="328"/>
      <c r="O54" s="327">
        <f>ROUND(SUM(O49:O53),5)</f>
        <v>0</v>
      </c>
      <c r="P54" s="328"/>
      <c r="Q54" s="327">
        <f>ROUND(SUM(Q49:Q53),5)</f>
        <v>0</v>
      </c>
      <c r="R54" s="328"/>
      <c r="S54" s="327">
        <f>ROUND(SUM(S49:S53),5)</f>
        <v>21124.76</v>
      </c>
      <c r="T54" s="328"/>
      <c r="U54" s="330">
        <f t="shared" si="33"/>
        <v>21124.76</v>
      </c>
      <c r="V54" s="328"/>
      <c r="W54" s="327">
        <f>ROUND(SUM(W49:W53),5)</f>
        <v>14182.97</v>
      </c>
      <c r="X54" s="328"/>
      <c r="Y54" s="327">
        <f>ROUND(SUM(Y49:Y53),5)</f>
        <v>18096.34</v>
      </c>
      <c r="Z54" s="328"/>
      <c r="AA54" s="327">
        <f>ROUND(SUM(AA49:AA53),5)</f>
        <v>0</v>
      </c>
      <c r="AB54" s="328"/>
      <c r="AC54" s="327">
        <f>ROUND(SUM(AC49:AC53),5)</f>
        <v>0</v>
      </c>
      <c r="AD54" s="328"/>
      <c r="AE54" s="327">
        <f>ROUND(SUM(AE49:AE53),5)</f>
        <v>0</v>
      </c>
      <c r="AF54" s="328"/>
      <c r="AG54" s="331">
        <f t="shared" si="34"/>
        <v>0</v>
      </c>
      <c r="AH54" s="328"/>
      <c r="AI54" s="327">
        <f>ROUND(SUM(AI49:AI53),5)</f>
        <v>13594.87</v>
      </c>
      <c r="AJ54" s="328"/>
      <c r="AK54" s="327">
        <f>ROUND(SUM(AK49:AK53),5)</f>
        <v>31524.19</v>
      </c>
      <c r="AL54" s="328"/>
      <c r="AM54" s="327">
        <f>ROUND(SUM(AM49:AM53),5)</f>
        <v>33866.54</v>
      </c>
      <c r="AN54" s="328"/>
      <c r="AO54" s="327">
        <f>ROUND(SUM(AO49:AO53),5)</f>
        <v>69645.119999999995</v>
      </c>
      <c r="AP54" s="328"/>
      <c r="AQ54" s="327">
        <f t="shared" si="35"/>
        <v>148630.72</v>
      </c>
      <c r="AR54" s="328"/>
      <c r="AS54" s="327">
        <f>ROUND(SUM(AS49:AS53),5)</f>
        <v>5198</v>
      </c>
      <c r="AT54" s="328"/>
      <c r="AU54" s="327">
        <f>ROUND(SUM(AU49:AU53),5)</f>
        <v>0</v>
      </c>
      <c r="AV54" s="328"/>
      <c r="AW54" s="327">
        <f>ROUND(SUM(AW49:AW53),5)</f>
        <v>13353.71</v>
      </c>
      <c r="AX54" s="328"/>
      <c r="AY54" s="327">
        <f>ROUND(SUM(AY49:AY53),5)</f>
        <v>6271.6</v>
      </c>
      <c r="AZ54" s="328"/>
      <c r="BA54" s="327">
        <f>ROUND(SUM(BA49:BA53),5)</f>
        <v>15797.39</v>
      </c>
      <c r="BB54" s="328"/>
      <c r="BC54" s="327">
        <f>ROUND(SUM(BC49:BC53),5)</f>
        <v>11416</v>
      </c>
      <c r="BD54" s="328"/>
      <c r="BE54" s="327">
        <f>ROUND(SUM(BE49:BE53),5)</f>
        <v>63255.57</v>
      </c>
      <c r="BF54" s="328"/>
      <c r="BG54" s="327">
        <f>ROUND(SUM(BG49:BG53),5)</f>
        <v>0</v>
      </c>
      <c r="BH54" s="328"/>
      <c r="BI54" s="327">
        <f>ROUND(SUM(BI49:BI53),5)</f>
        <v>0</v>
      </c>
      <c r="BJ54" s="328"/>
      <c r="BK54" s="327">
        <f>ROUND(SUM(BK49:BK53),5)</f>
        <v>0</v>
      </c>
      <c r="BL54" s="328"/>
      <c r="BM54" s="327">
        <f t="shared" si="36"/>
        <v>110094.27</v>
      </c>
      <c r="BN54" s="328"/>
      <c r="BO54" s="327">
        <f t="shared" si="37"/>
        <v>296202.3</v>
      </c>
      <c r="BP54" s="328"/>
      <c r="BQ54" s="331">
        <f>ROUND(SUM(BQ49:BQ53),5)</f>
        <v>139367.22</v>
      </c>
      <c r="BR54" s="328"/>
      <c r="BS54" s="327">
        <f>ROUND(SUM(BS49:BS53),5)</f>
        <v>0</v>
      </c>
      <c r="BT54" s="328"/>
      <c r="BU54" s="331">
        <f>ROUND(SUM(BU49:BU53),5)</f>
        <v>7197.08</v>
      </c>
      <c r="BV54" s="328"/>
      <c r="BW54" s="327">
        <f>ROUND(SUM(BW49:BW53),5)</f>
        <v>106920.71</v>
      </c>
      <c r="BX54" s="328"/>
      <c r="BY54" s="327">
        <f>ROUND(SUM(BY49:BY53),5)</f>
        <v>0</v>
      </c>
      <c r="BZ54" s="328"/>
      <c r="CA54" s="331">
        <f>ROUND(SUM(CA49:CA53),5)</f>
        <v>116903.62</v>
      </c>
      <c r="CB54" s="328"/>
      <c r="CC54" s="331">
        <f>ROUND(SUM(CC49:CC53),5)</f>
        <v>0</v>
      </c>
      <c r="CD54" s="328"/>
      <c r="CE54" s="327">
        <f>ROUND(SUM(CE49:CE53),5)</f>
        <v>0</v>
      </c>
      <c r="CF54" s="328"/>
      <c r="CG54" s="327">
        <f>ROUND(SUM(CG49:CG53),5)</f>
        <v>0</v>
      </c>
      <c r="CH54" s="328"/>
      <c r="CI54" s="327">
        <f>ROUND(SUM(CI49:CI53),5)</f>
        <v>0</v>
      </c>
      <c r="CJ54" s="328"/>
      <c r="CK54" s="327">
        <f>ROUND(SUM(CK49:CK53),5)</f>
        <v>39439</v>
      </c>
      <c r="CL54" s="328"/>
      <c r="CM54" s="332">
        <f t="shared" si="38"/>
        <v>39439</v>
      </c>
      <c r="CN54" s="328"/>
      <c r="CO54" s="331">
        <f>ROUND(SUM(CO49:CO53),5)</f>
        <v>0</v>
      </c>
      <c r="CP54" s="328"/>
      <c r="CQ54" s="327">
        <f>ROUND(SUM(CQ49:CQ53),5)</f>
        <v>0</v>
      </c>
      <c r="CR54" s="328"/>
      <c r="CS54" s="327">
        <f t="shared" si="39"/>
        <v>409827.63</v>
      </c>
      <c r="CT54" s="328"/>
      <c r="CU54" s="327">
        <f t="shared" si="40"/>
        <v>706029.93</v>
      </c>
      <c r="CV54" s="328"/>
      <c r="CW54" s="329">
        <f>ROUND(SUM(CW49:CW53),5)</f>
        <v>15133.87</v>
      </c>
      <c r="CX54" s="328"/>
      <c r="CY54" s="327">
        <f t="shared" si="41"/>
        <v>820338.23</v>
      </c>
      <c r="DA54" s="344">
        <f t="shared" si="10"/>
        <v>263467.92</v>
      </c>
      <c r="DB54" s="344"/>
      <c r="DC54" s="344">
        <f t="shared" si="11"/>
        <v>403123.01</v>
      </c>
    </row>
    <row r="55" spans="1:107" x14ac:dyDescent="0.3">
      <c r="A55" s="326"/>
      <c r="B55" s="326"/>
      <c r="C55" s="326"/>
      <c r="D55" s="326"/>
      <c r="E55" s="326"/>
      <c r="F55" s="326"/>
      <c r="G55" s="326" t="s">
        <v>660</v>
      </c>
      <c r="H55" s="326"/>
      <c r="I55" s="327">
        <v>0</v>
      </c>
      <c r="J55" s="328"/>
      <c r="K55" s="327">
        <v>352108.33</v>
      </c>
      <c r="L55" s="328"/>
      <c r="M55" s="329">
        <f t="shared" si="32"/>
        <v>352108.33</v>
      </c>
      <c r="N55" s="328"/>
      <c r="O55" s="327">
        <v>0</v>
      </c>
      <c r="P55" s="328"/>
      <c r="Q55" s="327">
        <v>0</v>
      </c>
      <c r="R55" s="328"/>
      <c r="S55" s="327">
        <v>201392.13</v>
      </c>
      <c r="T55" s="328"/>
      <c r="U55" s="330">
        <f t="shared" si="33"/>
        <v>201392.13</v>
      </c>
      <c r="V55" s="328"/>
      <c r="W55" s="327">
        <v>138797.57</v>
      </c>
      <c r="X55" s="328"/>
      <c r="Y55" s="327">
        <v>90473.09</v>
      </c>
      <c r="Z55" s="328"/>
      <c r="AA55" s="327">
        <v>84088.62</v>
      </c>
      <c r="AB55" s="328"/>
      <c r="AC55" s="327">
        <v>78548.5</v>
      </c>
      <c r="AD55" s="328"/>
      <c r="AE55" s="327">
        <v>0</v>
      </c>
      <c r="AF55" s="328"/>
      <c r="AG55" s="331">
        <f t="shared" si="34"/>
        <v>162637.12</v>
      </c>
      <c r="AH55" s="328"/>
      <c r="AI55" s="327">
        <v>64736.6</v>
      </c>
      <c r="AJ55" s="328"/>
      <c r="AK55" s="327">
        <v>153238.54</v>
      </c>
      <c r="AL55" s="328"/>
      <c r="AM55" s="327">
        <v>157411.26</v>
      </c>
      <c r="AN55" s="328"/>
      <c r="AO55" s="327">
        <v>333825</v>
      </c>
      <c r="AP55" s="328"/>
      <c r="AQ55" s="327">
        <f t="shared" si="35"/>
        <v>709211.4</v>
      </c>
      <c r="AR55" s="328"/>
      <c r="AS55" s="327">
        <v>62472.61</v>
      </c>
      <c r="AT55" s="328"/>
      <c r="AU55" s="327">
        <v>0</v>
      </c>
      <c r="AV55" s="328"/>
      <c r="AW55" s="327">
        <v>68056</v>
      </c>
      <c r="AX55" s="328"/>
      <c r="AY55" s="327">
        <v>42647.24</v>
      </c>
      <c r="AZ55" s="328"/>
      <c r="BA55" s="327">
        <v>91019.21</v>
      </c>
      <c r="BB55" s="328"/>
      <c r="BC55" s="327">
        <v>57083</v>
      </c>
      <c r="BD55" s="328"/>
      <c r="BE55" s="327">
        <v>344060.63</v>
      </c>
      <c r="BF55" s="328"/>
      <c r="BG55" s="327">
        <v>0</v>
      </c>
      <c r="BH55" s="328"/>
      <c r="BI55" s="327">
        <v>0</v>
      </c>
      <c r="BJ55" s="328"/>
      <c r="BK55" s="327">
        <v>0</v>
      </c>
      <c r="BL55" s="328"/>
      <c r="BM55" s="327">
        <f t="shared" si="36"/>
        <v>602866.07999999996</v>
      </c>
      <c r="BN55" s="328"/>
      <c r="BO55" s="327">
        <f t="shared" si="37"/>
        <v>1766457.87</v>
      </c>
      <c r="BP55" s="328"/>
      <c r="BQ55" s="331">
        <v>342536.77</v>
      </c>
      <c r="BR55" s="328"/>
      <c r="BS55" s="327">
        <v>0</v>
      </c>
      <c r="BT55" s="328"/>
      <c r="BU55" s="331">
        <v>68819.33</v>
      </c>
      <c r="BV55" s="328"/>
      <c r="BW55" s="327">
        <v>15327.88</v>
      </c>
      <c r="BX55" s="328"/>
      <c r="BY55" s="327">
        <v>0</v>
      </c>
      <c r="BZ55" s="328"/>
      <c r="CA55" s="331">
        <v>484180.25</v>
      </c>
      <c r="CB55" s="328"/>
      <c r="CC55" s="331">
        <v>0</v>
      </c>
      <c r="CD55" s="328"/>
      <c r="CE55" s="327">
        <v>0</v>
      </c>
      <c r="CF55" s="328"/>
      <c r="CG55" s="327">
        <v>0</v>
      </c>
      <c r="CH55" s="328"/>
      <c r="CI55" s="327">
        <v>0</v>
      </c>
      <c r="CJ55" s="328"/>
      <c r="CK55" s="327">
        <v>149929.28</v>
      </c>
      <c r="CL55" s="328"/>
      <c r="CM55" s="332">
        <f t="shared" si="38"/>
        <v>149929.28</v>
      </c>
      <c r="CN55" s="328"/>
      <c r="CO55" s="331">
        <v>0</v>
      </c>
      <c r="CP55" s="328"/>
      <c r="CQ55" s="327">
        <v>0</v>
      </c>
      <c r="CR55" s="328"/>
      <c r="CS55" s="327">
        <f t="shared" si="39"/>
        <v>1060793.51</v>
      </c>
      <c r="CT55" s="328"/>
      <c r="CU55" s="327">
        <f t="shared" si="40"/>
        <v>2827251.38</v>
      </c>
      <c r="CV55" s="328"/>
      <c r="CW55" s="329">
        <v>0</v>
      </c>
      <c r="CX55" s="328"/>
      <c r="CY55" s="327">
        <f t="shared" si="41"/>
        <v>3380751.84</v>
      </c>
      <c r="CZ55" s="333">
        <v>1</v>
      </c>
      <c r="DA55" s="344">
        <f t="shared" si="10"/>
        <v>1058173.47</v>
      </c>
      <c r="DB55" s="344"/>
      <c r="DC55" s="344">
        <f t="shared" si="11"/>
        <v>1619148.6300000001</v>
      </c>
    </row>
    <row r="56" spans="1:107" ht="15" thickBot="1" x14ac:dyDescent="0.35">
      <c r="A56" s="326"/>
      <c r="B56" s="326"/>
      <c r="C56" s="326"/>
      <c r="D56" s="326"/>
      <c r="E56" s="326"/>
      <c r="F56" s="326"/>
      <c r="G56" s="326" t="s">
        <v>661</v>
      </c>
      <c r="H56" s="326"/>
      <c r="I56" s="327">
        <v>0</v>
      </c>
      <c r="J56" s="328"/>
      <c r="K56" s="327">
        <v>3524</v>
      </c>
      <c r="L56" s="328"/>
      <c r="M56" s="329">
        <f t="shared" si="32"/>
        <v>3524</v>
      </c>
      <c r="N56" s="328"/>
      <c r="O56" s="327">
        <v>0</v>
      </c>
      <c r="P56" s="328"/>
      <c r="Q56" s="327">
        <v>0</v>
      </c>
      <c r="R56" s="328"/>
      <c r="S56" s="327">
        <v>100</v>
      </c>
      <c r="T56" s="328"/>
      <c r="U56" s="330">
        <f t="shared" si="33"/>
        <v>100</v>
      </c>
      <c r="V56" s="328"/>
      <c r="W56" s="327">
        <v>0</v>
      </c>
      <c r="X56" s="328"/>
      <c r="Y56" s="327">
        <v>0</v>
      </c>
      <c r="Z56" s="328"/>
      <c r="AA56" s="327">
        <v>0</v>
      </c>
      <c r="AB56" s="328"/>
      <c r="AC56" s="327">
        <v>0</v>
      </c>
      <c r="AD56" s="328"/>
      <c r="AE56" s="327">
        <v>0</v>
      </c>
      <c r="AF56" s="328"/>
      <c r="AG56" s="331">
        <f t="shared" si="34"/>
        <v>0</v>
      </c>
      <c r="AH56" s="328"/>
      <c r="AI56" s="327">
        <v>0</v>
      </c>
      <c r="AJ56" s="328"/>
      <c r="AK56" s="327">
        <v>0</v>
      </c>
      <c r="AL56" s="328"/>
      <c r="AM56" s="327">
        <v>0</v>
      </c>
      <c r="AN56" s="328"/>
      <c r="AO56" s="327">
        <v>0</v>
      </c>
      <c r="AP56" s="328"/>
      <c r="AQ56" s="327">
        <f t="shared" si="35"/>
        <v>0</v>
      </c>
      <c r="AR56" s="328"/>
      <c r="AS56" s="327">
        <v>0</v>
      </c>
      <c r="AT56" s="328"/>
      <c r="AU56" s="327">
        <v>0</v>
      </c>
      <c r="AV56" s="328"/>
      <c r="AW56" s="327">
        <v>0</v>
      </c>
      <c r="AX56" s="328"/>
      <c r="AY56" s="327">
        <v>0</v>
      </c>
      <c r="AZ56" s="328"/>
      <c r="BA56" s="327">
        <v>0</v>
      </c>
      <c r="BB56" s="328"/>
      <c r="BC56" s="327">
        <v>0</v>
      </c>
      <c r="BD56" s="328"/>
      <c r="BE56" s="327">
        <v>0</v>
      </c>
      <c r="BF56" s="328"/>
      <c r="BG56" s="327">
        <v>0</v>
      </c>
      <c r="BH56" s="328"/>
      <c r="BI56" s="327">
        <v>0</v>
      </c>
      <c r="BJ56" s="328"/>
      <c r="BK56" s="327">
        <v>0</v>
      </c>
      <c r="BL56" s="328"/>
      <c r="BM56" s="327">
        <f t="shared" si="36"/>
        <v>0</v>
      </c>
      <c r="BN56" s="328"/>
      <c r="BO56" s="327">
        <f t="shared" si="37"/>
        <v>0</v>
      </c>
      <c r="BP56" s="328"/>
      <c r="BQ56" s="331">
        <v>766</v>
      </c>
      <c r="BR56" s="328"/>
      <c r="BS56" s="327">
        <v>0</v>
      </c>
      <c r="BT56" s="328"/>
      <c r="BU56" s="331">
        <v>0</v>
      </c>
      <c r="BV56" s="328"/>
      <c r="BW56" s="327">
        <v>0</v>
      </c>
      <c r="BX56" s="328"/>
      <c r="BY56" s="327">
        <v>0</v>
      </c>
      <c r="BZ56" s="328"/>
      <c r="CA56" s="331">
        <v>0</v>
      </c>
      <c r="CB56" s="328"/>
      <c r="CC56" s="331">
        <v>0</v>
      </c>
      <c r="CD56" s="328"/>
      <c r="CE56" s="327">
        <v>0</v>
      </c>
      <c r="CF56" s="328"/>
      <c r="CG56" s="327">
        <v>0</v>
      </c>
      <c r="CH56" s="328"/>
      <c r="CI56" s="327">
        <v>0</v>
      </c>
      <c r="CJ56" s="328"/>
      <c r="CK56" s="327">
        <v>468</v>
      </c>
      <c r="CL56" s="328"/>
      <c r="CM56" s="332">
        <f t="shared" si="38"/>
        <v>468</v>
      </c>
      <c r="CN56" s="328"/>
      <c r="CO56" s="331">
        <v>0</v>
      </c>
      <c r="CP56" s="328"/>
      <c r="CQ56" s="327">
        <v>0</v>
      </c>
      <c r="CR56" s="328"/>
      <c r="CS56" s="327">
        <f t="shared" si="39"/>
        <v>1234</v>
      </c>
      <c r="CT56" s="328"/>
      <c r="CU56" s="327">
        <f t="shared" si="40"/>
        <v>1234</v>
      </c>
      <c r="CV56" s="328"/>
      <c r="CW56" s="329">
        <v>0</v>
      </c>
      <c r="CX56" s="328"/>
      <c r="CY56" s="358">
        <f t="shared" si="41"/>
        <v>4858</v>
      </c>
      <c r="CZ56" s="333">
        <v>5</v>
      </c>
      <c r="DA56" s="344">
        <f t="shared" si="10"/>
        <v>766</v>
      </c>
      <c r="DB56" s="344"/>
      <c r="DC56" s="344">
        <f t="shared" si="11"/>
        <v>0</v>
      </c>
    </row>
    <row r="57" spans="1:107" ht="15" thickBot="1" x14ac:dyDescent="0.35">
      <c r="A57" s="326"/>
      <c r="B57" s="326"/>
      <c r="C57" s="326"/>
      <c r="D57" s="326"/>
      <c r="E57" s="326"/>
      <c r="F57" s="326" t="s">
        <v>662</v>
      </c>
      <c r="G57" s="326"/>
      <c r="H57" s="326"/>
      <c r="I57" s="334">
        <f>ROUND(I48+SUM(I54:I56),5)</f>
        <v>0</v>
      </c>
      <c r="J57" s="328"/>
      <c r="K57" s="334">
        <f>ROUND(K48+SUM(K54:K56),5)</f>
        <v>433682</v>
      </c>
      <c r="L57" s="328"/>
      <c r="M57" s="335">
        <f t="shared" si="32"/>
        <v>433682</v>
      </c>
      <c r="N57" s="328"/>
      <c r="O57" s="334">
        <f>ROUND(O48+SUM(O54:O56),5)</f>
        <v>0</v>
      </c>
      <c r="P57" s="328"/>
      <c r="Q57" s="334">
        <f>ROUND(Q48+SUM(Q54:Q56),5)</f>
        <v>0</v>
      </c>
      <c r="R57" s="328"/>
      <c r="S57" s="334">
        <f>ROUND(S48+SUM(S54:S56),5)</f>
        <v>222616.89</v>
      </c>
      <c r="T57" s="328"/>
      <c r="U57" s="336">
        <f t="shared" si="33"/>
        <v>222616.89</v>
      </c>
      <c r="V57" s="328"/>
      <c r="W57" s="334">
        <f>ROUND(W48+SUM(W54:W56),5)</f>
        <v>152980.54</v>
      </c>
      <c r="X57" s="328"/>
      <c r="Y57" s="334">
        <f>ROUND(Y48+SUM(Y54:Y56),5)</f>
        <v>108569.43</v>
      </c>
      <c r="Z57" s="328"/>
      <c r="AA57" s="334">
        <f>ROUND(AA48+SUM(AA54:AA56),5)</f>
        <v>84088.62</v>
      </c>
      <c r="AB57" s="328"/>
      <c r="AC57" s="334">
        <f>ROUND(AC48+SUM(AC54:AC56),5)</f>
        <v>78548.5</v>
      </c>
      <c r="AD57" s="328"/>
      <c r="AE57" s="334">
        <f>ROUND(AE48+SUM(AE54:AE56),5)</f>
        <v>0</v>
      </c>
      <c r="AF57" s="328"/>
      <c r="AG57" s="337">
        <f t="shared" si="34"/>
        <v>162637.12</v>
      </c>
      <c r="AH57" s="328"/>
      <c r="AI57" s="334">
        <f>ROUND(AI48+SUM(AI54:AI56),5)</f>
        <v>78331.47</v>
      </c>
      <c r="AJ57" s="328"/>
      <c r="AK57" s="334">
        <f>ROUND(AK48+SUM(AK54:AK56),5)</f>
        <v>184762.73</v>
      </c>
      <c r="AL57" s="328"/>
      <c r="AM57" s="334">
        <f>ROUND(AM48+SUM(AM54:AM56),5)</f>
        <v>191277.8</v>
      </c>
      <c r="AN57" s="328"/>
      <c r="AO57" s="334">
        <f>ROUND(AO48+SUM(AO54:AO56),5)</f>
        <v>403470.12</v>
      </c>
      <c r="AP57" s="328"/>
      <c r="AQ57" s="334">
        <f t="shared" si="35"/>
        <v>857842.12</v>
      </c>
      <c r="AR57" s="328"/>
      <c r="AS57" s="334">
        <f>ROUND(AS48+SUM(AS54:AS56),5)</f>
        <v>67670.61</v>
      </c>
      <c r="AT57" s="328"/>
      <c r="AU57" s="334">
        <f>ROUND(AU48+SUM(AU54:AU56),5)</f>
        <v>0</v>
      </c>
      <c r="AV57" s="328"/>
      <c r="AW57" s="334">
        <f>ROUND(AW48+SUM(AW54:AW56),5)</f>
        <v>81409.710000000006</v>
      </c>
      <c r="AX57" s="328"/>
      <c r="AY57" s="334">
        <f>ROUND(AY48+SUM(AY54:AY56),5)</f>
        <v>48918.84</v>
      </c>
      <c r="AZ57" s="328"/>
      <c r="BA57" s="334">
        <f>ROUND(BA48+SUM(BA54:BA56),5)</f>
        <v>106816.6</v>
      </c>
      <c r="BB57" s="328"/>
      <c r="BC57" s="334">
        <f>ROUND(BC48+SUM(BC54:BC56),5)</f>
        <v>68499</v>
      </c>
      <c r="BD57" s="328"/>
      <c r="BE57" s="334">
        <f>ROUND(BE48+SUM(BE54:BE56),5)</f>
        <v>407316.2</v>
      </c>
      <c r="BF57" s="328"/>
      <c r="BG57" s="334">
        <f>ROUND(BG48+SUM(BG54:BG56),5)</f>
        <v>0</v>
      </c>
      <c r="BH57" s="328"/>
      <c r="BI57" s="334">
        <f>ROUND(BI48+SUM(BI54:BI56),5)</f>
        <v>0</v>
      </c>
      <c r="BJ57" s="328"/>
      <c r="BK57" s="334">
        <f>ROUND(BK48+SUM(BK54:BK56),5)</f>
        <v>0</v>
      </c>
      <c r="BL57" s="328"/>
      <c r="BM57" s="334">
        <f t="shared" si="36"/>
        <v>712960.35</v>
      </c>
      <c r="BN57" s="328"/>
      <c r="BO57" s="334">
        <f t="shared" si="37"/>
        <v>2062660.17</v>
      </c>
      <c r="BP57" s="328"/>
      <c r="BQ57" s="337">
        <f>ROUND(BQ48+SUM(BQ54:BQ56),5)</f>
        <v>482669.99</v>
      </c>
      <c r="BR57" s="328"/>
      <c r="BS57" s="334">
        <f>ROUND(BS48+SUM(BS54:BS56),5)</f>
        <v>0</v>
      </c>
      <c r="BT57" s="328"/>
      <c r="BU57" s="337">
        <f>ROUND(BU48+SUM(BU54:BU56),5)</f>
        <v>76016.41</v>
      </c>
      <c r="BV57" s="328"/>
      <c r="BW57" s="334">
        <f>ROUND(BW48+SUM(BW54:BW56),5)</f>
        <v>122248.59</v>
      </c>
      <c r="BX57" s="328"/>
      <c r="BY57" s="334">
        <f>ROUND(BY48+SUM(BY54:BY56),5)</f>
        <v>0</v>
      </c>
      <c r="BZ57" s="328"/>
      <c r="CA57" s="337">
        <f>ROUND(CA48+SUM(CA54:CA56),5)</f>
        <v>601083.87</v>
      </c>
      <c r="CB57" s="328"/>
      <c r="CC57" s="337">
        <f>ROUND(CC48+SUM(CC54:CC56),5)</f>
        <v>0</v>
      </c>
      <c r="CD57" s="328"/>
      <c r="CE57" s="334">
        <f>ROUND(CE48+SUM(CE54:CE56),5)</f>
        <v>0</v>
      </c>
      <c r="CF57" s="328"/>
      <c r="CG57" s="334">
        <f>ROUND(CG48+SUM(CG54:CG56),5)</f>
        <v>0</v>
      </c>
      <c r="CH57" s="328"/>
      <c r="CI57" s="334">
        <f>ROUND(CI48+SUM(CI54:CI56),5)</f>
        <v>0</v>
      </c>
      <c r="CJ57" s="328"/>
      <c r="CK57" s="334">
        <f>ROUND(CK48+SUM(CK54:CK56),5)</f>
        <v>189836.28</v>
      </c>
      <c r="CL57" s="328"/>
      <c r="CM57" s="338">
        <f t="shared" si="38"/>
        <v>189836.28</v>
      </c>
      <c r="CN57" s="328"/>
      <c r="CO57" s="337">
        <f>ROUND(CO48+SUM(CO54:CO56),5)</f>
        <v>0</v>
      </c>
      <c r="CP57" s="328"/>
      <c r="CQ57" s="334">
        <f>ROUND(CQ48+SUM(CQ54:CQ56),5)</f>
        <v>0</v>
      </c>
      <c r="CR57" s="328"/>
      <c r="CS57" s="334">
        <f t="shared" si="39"/>
        <v>1471855.14</v>
      </c>
      <c r="CT57" s="328"/>
      <c r="CU57" s="334">
        <f t="shared" si="40"/>
        <v>3534515.31</v>
      </c>
      <c r="CV57" s="328"/>
      <c r="CW57" s="335">
        <f>ROUND(CW48+SUM(CW54:CW56),5)</f>
        <v>15133.87</v>
      </c>
      <c r="CX57" s="328"/>
      <c r="CY57" s="334">
        <f t="shared" si="41"/>
        <v>4205948.07</v>
      </c>
      <c r="DA57" s="344">
        <f t="shared" si="10"/>
        <v>1322407.3900000001</v>
      </c>
      <c r="DB57" s="344"/>
      <c r="DC57" s="344">
        <f t="shared" si="11"/>
        <v>2022271.64</v>
      </c>
    </row>
    <row r="58" spans="1:107" x14ac:dyDescent="0.3">
      <c r="A58" s="326"/>
      <c r="B58" s="326"/>
      <c r="C58" s="326"/>
      <c r="D58" s="326"/>
      <c r="E58" s="326" t="s">
        <v>663</v>
      </c>
      <c r="F58" s="326"/>
      <c r="G58" s="326"/>
      <c r="H58" s="326"/>
      <c r="I58" s="327">
        <f>ROUND(I18+I38+I47+I57,5)</f>
        <v>31653.96</v>
      </c>
      <c r="J58" s="328"/>
      <c r="K58" s="327">
        <f>ROUND(K18+K38+K47+K57,5)</f>
        <v>951755.19</v>
      </c>
      <c r="L58" s="328"/>
      <c r="M58" s="329">
        <f t="shared" si="32"/>
        <v>983409.15</v>
      </c>
      <c r="N58" s="328"/>
      <c r="O58" s="327">
        <f>ROUND(O18+O38+O47+O57,5)</f>
        <v>88.82</v>
      </c>
      <c r="P58" s="328"/>
      <c r="Q58" s="327">
        <f>ROUND(Q18+Q38+Q47+Q57,5)</f>
        <v>9388.2199999999993</v>
      </c>
      <c r="R58" s="328"/>
      <c r="S58" s="327">
        <f>ROUND(S18+S38+S47+S57,5)</f>
        <v>289148.36</v>
      </c>
      <c r="T58" s="328"/>
      <c r="U58" s="330">
        <f t="shared" si="33"/>
        <v>298625.40000000002</v>
      </c>
      <c r="V58" s="328"/>
      <c r="W58" s="327">
        <f>ROUND(W18+W38+W47+W57,5)</f>
        <v>154615.81</v>
      </c>
      <c r="X58" s="328"/>
      <c r="Y58" s="327">
        <f>ROUND(Y18+Y38+Y47+Y57,5)</f>
        <v>132020.56</v>
      </c>
      <c r="Z58" s="328"/>
      <c r="AA58" s="327">
        <f>ROUND(AA18+AA38+AA47+AA57,5)</f>
        <v>84682.75</v>
      </c>
      <c r="AB58" s="328"/>
      <c r="AC58" s="327">
        <f>ROUND(AC18+AC38+AC47+AC57,5)</f>
        <v>78548.5</v>
      </c>
      <c r="AD58" s="328"/>
      <c r="AE58" s="327">
        <f>ROUND(AE18+AE38+AE47+AE57,5)</f>
        <v>0</v>
      </c>
      <c r="AF58" s="328"/>
      <c r="AG58" s="331">
        <f t="shared" si="34"/>
        <v>163231.25</v>
      </c>
      <c r="AH58" s="328"/>
      <c r="AI58" s="327">
        <f>ROUND(AI18+AI38+AI47+AI57,5)</f>
        <v>81534.080000000002</v>
      </c>
      <c r="AJ58" s="328"/>
      <c r="AK58" s="327">
        <f>ROUND(AK18+AK38+AK47+AK57,5)</f>
        <v>188469.62</v>
      </c>
      <c r="AL58" s="328"/>
      <c r="AM58" s="327">
        <f>ROUND(AM18+AM38+AM47+AM57,5)</f>
        <v>191996.64</v>
      </c>
      <c r="AN58" s="328"/>
      <c r="AO58" s="327">
        <f>ROUND(AO18+AO38+AO47+AO57,5)</f>
        <v>407138.62</v>
      </c>
      <c r="AP58" s="328"/>
      <c r="AQ58" s="327">
        <f t="shared" si="35"/>
        <v>869138.96</v>
      </c>
      <c r="AR58" s="328"/>
      <c r="AS58" s="327">
        <f>ROUND(AS18+AS38+AS47+AS57,5)</f>
        <v>68995.039999999994</v>
      </c>
      <c r="AT58" s="328"/>
      <c r="AU58" s="327">
        <f>ROUND(AU18+AU38+AU47+AU57,5)</f>
        <v>0</v>
      </c>
      <c r="AV58" s="328"/>
      <c r="AW58" s="327">
        <f>ROUND(AW18+AW38+AW47+AW57,5)</f>
        <v>86986.25</v>
      </c>
      <c r="AX58" s="328"/>
      <c r="AY58" s="327">
        <f>ROUND(AY18+AY38+AY47+AY57,5)</f>
        <v>50661.52</v>
      </c>
      <c r="AZ58" s="328"/>
      <c r="BA58" s="327">
        <f>ROUND(BA18+BA38+BA47+BA57,5)</f>
        <v>127777.51</v>
      </c>
      <c r="BB58" s="328"/>
      <c r="BC58" s="327">
        <f>ROUND(BC18+BC38+BC47+BC57,5)</f>
        <v>69804.929999999993</v>
      </c>
      <c r="BD58" s="328"/>
      <c r="BE58" s="327">
        <f>ROUND(BE18+BE38+BE47+BE57,5)</f>
        <v>436382.05</v>
      </c>
      <c r="BF58" s="328"/>
      <c r="BG58" s="327">
        <f>ROUND(BG18+BG38+BG47+BG57,5)</f>
        <v>0</v>
      </c>
      <c r="BH58" s="328"/>
      <c r="BI58" s="327">
        <f>ROUND(BI18+BI38+BI47+BI57,5)</f>
        <v>0</v>
      </c>
      <c r="BJ58" s="328"/>
      <c r="BK58" s="327">
        <f>ROUND(BK18+BK38+BK47+BK57,5)</f>
        <v>2379</v>
      </c>
      <c r="BL58" s="328"/>
      <c r="BM58" s="327">
        <f t="shared" si="36"/>
        <v>773991.26</v>
      </c>
      <c r="BN58" s="328"/>
      <c r="BO58" s="327">
        <f t="shared" si="37"/>
        <v>2161992.88</v>
      </c>
      <c r="BP58" s="328"/>
      <c r="BQ58" s="331">
        <f>ROUND(BQ18+BQ38+BQ47+BQ57,5)</f>
        <v>735294.15</v>
      </c>
      <c r="BR58" s="328"/>
      <c r="BS58" s="327">
        <f>ROUND(BS18+BS38+BS47+BS57,5)</f>
        <v>0</v>
      </c>
      <c r="BT58" s="328"/>
      <c r="BU58" s="331">
        <f>ROUND(BU18+BU38+BU47+BU57,5)</f>
        <v>76016.41</v>
      </c>
      <c r="BV58" s="328"/>
      <c r="BW58" s="327">
        <f>ROUND(BW18+BW38+BW47+BW57,5)</f>
        <v>219642.39</v>
      </c>
      <c r="BX58" s="328"/>
      <c r="BY58" s="327">
        <f>ROUND(BY18+BY38+BY47+BY57,5)</f>
        <v>0</v>
      </c>
      <c r="BZ58" s="328"/>
      <c r="CA58" s="331">
        <f>ROUND(CA18+CA38+CA47+CA57,5)</f>
        <v>614346.4</v>
      </c>
      <c r="CB58" s="328"/>
      <c r="CC58" s="331">
        <f>ROUND(CC18+CC38+CC47+CC57,5)</f>
        <v>0</v>
      </c>
      <c r="CD58" s="328"/>
      <c r="CE58" s="327">
        <f>ROUND(CE18+CE38+CE47+CE57,5)</f>
        <v>0</v>
      </c>
      <c r="CF58" s="328"/>
      <c r="CG58" s="327">
        <f>ROUND(CG18+CG38+CG47+CG57,5)</f>
        <v>55.72</v>
      </c>
      <c r="CH58" s="328"/>
      <c r="CI58" s="327">
        <f>ROUND(CI18+CI38+CI47+CI57,5)</f>
        <v>8250.51</v>
      </c>
      <c r="CJ58" s="328"/>
      <c r="CK58" s="327">
        <f>ROUND(CK18+CK38+CK47+CK57,5)</f>
        <v>246755.11</v>
      </c>
      <c r="CL58" s="328"/>
      <c r="CM58" s="332">
        <f t="shared" si="38"/>
        <v>255061.34</v>
      </c>
      <c r="CN58" s="328"/>
      <c r="CO58" s="331">
        <f>ROUND(CO18+CO38+CO47+CO57,5)</f>
        <v>50207.56</v>
      </c>
      <c r="CP58" s="328"/>
      <c r="CQ58" s="327">
        <f>ROUND(CQ18+CQ38+CQ47+CQ57,5)</f>
        <v>0</v>
      </c>
      <c r="CR58" s="328"/>
      <c r="CS58" s="327">
        <f t="shared" si="39"/>
        <v>1950568.25</v>
      </c>
      <c r="CT58" s="328"/>
      <c r="CU58" s="327">
        <f t="shared" si="40"/>
        <v>4112561.13</v>
      </c>
      <c r="CV58" s="328"/>
      <c r="CW58" s="329">
        <f>ROUND(CW18+CW38+CW47+CW57,5)</f>
        <v>15133.87</v>
      </c>
      <c r="CX58" s="328"/>
      <c r="CY58" s="327">
        <f t="shared" si="41"/>
        <v>5409729.5499999998</v>
      </c>
      <c r="DA58" s="344">
        <f t="shared" si="10"/>
        <v>1639095.77</v>
      </c>
      <c r="DB58" s="344"/>
      <c r="DC58" s="344">
        <f t="shared" si="11"/>
        <v>2218404.02</v>
      </c>
    </row>
    <row r="59" spans="1:107" x14ac:dyDescent="0.3">
      <c r="A59" s="326"/>
      <c r="B59" s="326"/>
      <c r="C59" s="326"/>
      <c r="D59" s="326"/>
      <c r="E59" s="326" t="s">
        <v>664</v>
      </c>
      <c r="F59" s="326"/>
      <c r="G59" s="326"/>
      <c r="H59" s="326"/>
      <c r="I59" s="327"/>
      <c r="J59" s="328"/>
      <c r="K59" s="327"/>
      <c r="L59" s="328"/>
      <c r="M59" s="329"/>
      <c r="N59" s="328"/>
      <c r="O59" s="327"/>
      <c r="P59" s="328"/>
      <c r="Q59" s="327"/>
      <c r="R59" s="328"/>
      <c r="S59" s="327"/>
      <c r="T59" s="328"/>
      <c r="U59" s="330"/>
      <c r="V59" s="328"/>
      <c r="W59" s="327"/>
      <c r="X59" s="328"/>
      <c r="Y59" s="327"/>
      <c r="Z59" s="328"/>
      <c r="AA59" s="327"/>
      <c r="AB59" s="328"/>
      <c r="AC59" s="327"/>
      <c r="AD59" s="328"/>
      <c r="AE59" s="327"/>
      <c r="AF59" s="328"/>
      <c r="AG59" s="331"/>
      <c r="AH59" s="328"/>
      <c r="AI59" s="327"/>
      <c r="AJ59" s="328"/>
      <c r="AK59" s="327"/>
      <c r="AL59" s="328"/>
      <c r="AM59" s="327"/>
      <c r="AN59" s="328"/>
      <c r="AO59" s="327"/>
      <c r="AP59" s="328"/>
      <c r="AQ59" s="327"/>
      <c r="AR59" s="328"/>
      <c r="AS59" s="327"/>
      <c r="AT59" s="328"/>
      <c r="AU59" s="327"/>
      <c r="AV59" s="328"/>
      <c r="AW59" s="327"/>
      <c r="AX59" s="328"/>
      <c r="AY59" s="327"/>
      <c r="AZ59" s="328"/>
      <c r="BA59" s="327"/>
      <c r="BB59" s="328"/>
      <c r="BC59" s="327"/>
      <c r="BD59" s="328"/>
      <c r="BE59" s="327"/>
      <c r="BF59" s="328"/>
      <c r="BG59" s="327"/>
      <c r="BH59" s="328"/>
      <c r="BI59" s="327"/>
      <c r="BJ59" s="328"/>
      <c r="BK59" s="327"/>
      <c r="BL59" s="328"/>
      <c r="BM59" s="327"/>
      <c r="BN59" s="328"/>
      <c r="BO59" s="327"/>
      <c r="BP59" s="328"/>
      <c r="BQ59" s="331"/>
      <c r="BR59" s="328"/>
      <c r="BS59" s="327"/>
      <c r="BT59" s="328"/>
      <c r="BU59" s="331"/>
      <c r="BV59" s="328"/>
      <c r="BW59" s="327"/>
      <c r="BX59" s="328"/>
      <c r="BY59" s="327"/>
      <c r="BZ59" s="328"/>
      <c r="CA59" s="331"/>
      <c r="CB59" s="328"/>
      <c r="CC59" s="331"/>
      <c r="CD59" s="328"/>
      <c r="CE59" s="327"/>
      <c r="CF59" s="328"/>
      <c r="CG59" s="327"/>
      <c r="CH59" s="328"/>
      <c r="CI59" s="327"/>
      <c r="CJ59" s="328"/>
      <c r="CK59" s="327"/>
      <c r="CL59" s="328"/>
      <c r="CM59" s="332"/>
      <c r="CN59" s="328"/>
      <c r="CO59" s="331"/>
      <c r="CP59" s="328"/>
      <c r="CQ59" s="327"/>
      <c r="CR59" s="328"/>
      <c r="CS59" s="327"/>
      <c r="CT59" s="328"/>
      <c r="CU59" s="327"/>
      <c r="CV59" s="328"/>
      <c r="CW59" s="329"/>
      <c r="CX59" s="328"/>
      <c r="CY59" s="327"/>
      <c r="DA59" s="344">
        <f t="shared" si="10"/>
        <v>0</v>
      </c>
      <c r="DB59" s="344"/>
      <c r="DC59" s="344">
        <f t="shared" si="11"/>
        <v>0</v>
      </c>
    </row>
    <row r="60" spans="1:107" ht="15" thickBot="1" x14ac:dyDescent="0.35">
      <c r="A60" s="326"/>
      <c r="B60" s="326"/>
      <c r="C60" s="326"/>
      <c r="D60" s="326"/>
      <c r="E60" s="326"/>
      <c r="F60" s="326" t="s">
        <v>665</v>
      </c>
      <c r="G60" s="326"/>
      <c r="H60" s="326"/>
      <c r="I60" s="327">
        <v>0</v>
      </c>
      <c r="J60" s="328"/>
      <c r="K60" s="327">
        <v>1585.18</v>
      </c>
      <c r="L60" s="328"/>
      <c r="M60" s="329">
        <f>ROUND(SUM(I60:K60),5)</f>
        <v>1585.18</v>
      </c>
      <c r="N60" s="328"/>
      <c r="O60" s="327">
        <v>0</v>
      </c>
      <c r="P60" s="328"/>
      <c r="Q60" s="327">
        <v>0</v>
      </c>
      <c r="R60" s="328"/>
      <c r="S60" s="327">
        <v>0</v>
      </c>
      <c r="T60" s="328"/>
      <c r="U60" s="330">
        <f>ROUND(SUM(O60:S60),5)</f>
        <v>0</v>
      </c>
      <c r="V60" s="328"/>
      <c r="W60" s="327">
        <v>7080</v>
      </c>
      <c r="X60" s="328"/>
      <c r="Y60" s="327">
        <v>0</v>
      </c>
      <c r="Z60" s="328"/>
      <c r="AA60" s="327">
        <v>4472663.29</v>
      </c>
      <c r="AB60" s="328"/>
      <c r="AC60" s="327">
        <v>0</v>
      </c>
      <c r="AD60" s="328"/>
      <c r="AE60" s="327">
        <v>7358.96</v>
      </c>
      <c r="AF60" s="328"/>
      <c r="AG60" s="331">
        <f>ROUND(SUM(AA60:AE60),5)</f>
        <v>4480022.25</v>
      </c>
      <c r="AH60" s="328"/>
      <c r="AI60" s="327">
        <v>326734.59000000003</v>
      </c>
      <c r="AJ60" s="328"/>
      <c r="AK60" s="327">
        <v>91091.7</v>
      </c>
      <c r="AL60" s="328"/>
      <c r="AM60" s="327">
        <v>135507.97</v>
      </c>
      <c r="AN60" s="328"/>
      <c r="AO60" s="327">
        <v>161797.44</v>
      </c>
      <c r="AP60" s="328"/>
      <c r="AQ60" s="327">
        <f>ROUND(SUM(AI60:AO60),5)</f>
        <v>715131.7</v>
      </c>
      <c r="AR60" s="328"/>
      <c r="AS60" s="327">
        <v>12800.64</v>
      </c>
      <c r="AT60" s="328"/>
      <c r="AU60" s="327">
        <v>192909.29</v>
      </c>
      <c r="AV60" s="328"/>
      <c r="AW60" s="327">
        <v>11859.6</v>
      </c>
      <c r="AX60" s="328"/>
      <c r="AY60" s="327">
        <v>29897.89</v>
      </c>
      <c r="AZ60" s="328"/>
      <c r="BA60" s="327">
        <v>229858.2</v>
      </c>
      <c r="BB60" s="328"/>
      <c r="BC60" s="327">
        <v>20634.88</v>
      </c>
      <c r="BD60" s="328"/>
      <c r="BE60" s="327">
        <v>175964.15</v>
      </c>
      <c r="BF60" s="328"/>
      <c r="BG60" s="327">
        <v>13325.23</v>
      </c>
      <c r="BH60" s="328"/>
      <c r="BI60" s="327">
        <v>142124.88</v>
      </c>
      <c r="BJ60" s="328"/>
      <c r="BK60" s="327">
        <v>0</v>
      </c>
      <c r="BL60" s="328"/>
      <c r="BM60" s="327">
        <f>ROUND(SUM(AU60:BK60),5)</f>
        <v>816574.12</v>
      </c>
      <c r="BN60" s="328"/>
      <c r="BO60" s="327">
        <f>ROUND(SUM(W60:Y60)+AG60+SUM(AQ60:AS60)+BM60,5)</f>
        <v>6031608.71</v>
      </c>
      <c r="BP60" s="328"/>
      <c r="BQ60" s="331">
        <v>559.98</v>
      </c>
      <c r="BR60" s="328"/>
      <c r="BS60" s="327">
        <v>10957.32</v>
      </c>
      <c r="BT60" s="328"/>
      <c r="BU60" s="331">
        <v>0</v>
      </c>
      <c r="BV60" s="328"/>
      <c r="BW60" s="327">
        <v>97549.5</v>
      </c>
      <c r="BX60" s="328"/>
      <c r="BY60" s="327">
        <v>60591.6</v>
      </c>
      <c r="BZ60" s="328"/>
      <c r="CA60" s="331">
        <v>328901.57</v>
      </c>
      <c r="CB60" s="328"/>
      <c r="CC60" s="331">
        <v>72000</v>
      </c>
      <c r="CD60" s="328"/>
      <c r="CE60" s="327">
        <v>11593.95</v>
      </c>
      <c r="CF60" s="328"/>
      <c r="CG60" s="327">
        <v>26851.96</v>
      </c>
      <c r="CH60" s="328"/>
      <c r="CI60" s="327">
        <v>20003.990000000002</v>
      </c>
      <c r="CJ60" s="328"/>
      <c r="CK60" s="327">
        <v>5683.36</v>
      </c>
      <c r="CL60" s="328"/>
      <c r="CM60" s="332">
        <f>ROUND(SUM(CE60:CK60),5)</f>
        <v>64133.26</v>
      </c>
      <c r="CN60" s="328"/>
      <c r="CO60" s="331">
        <v>0</v>
      </c>
      <c r="CP60" s="328"/>
      <c r="CQ60" s="327">
        <v>15781.43</v>
      </c>
      <c r="CR60" s="328"/>
      <c r="CS60" s="327">
        <f>ROUND(SUM(BQ60:CC60)+SUM(CM60:CQ60),5)</f>
        <v>650474.66</v>
      </c>
      <c r="CT60" s="328"/>
      <c r="CU60" s="327">
        <f>ROUND(BO60+CS60,5)</f>
        <v>6682083.3700000001</v>
      </c>
      <c r="CV60" s="328"/>
      <c r="CW60" s="329">
        <v>0</v>
      </c>
      <c r="CX60" s="328"/>
      <c r="CY60" s="327">
        <f>ROUND(M60+U60+SUM(CU60:CW60),5)</f>
        <v>6683668.5499999998</v>
      </c>
      <c r="CZ60" s="333">
        <v>4</v>
      </c>
      <c r="DA60" s="344">
        <f t="shared" si="10"/>
        <v>4881483.8</v>
      </c>
      <c r="DB60" s="344"/>
      <c r="DC60" s="344">
        <f t="shared" si="11"/>
        <v>1736466.31</v>
      </c>
    </row>
    <row r="61" spans="1:107" ht="15" thickBot="1" x14ac:dyDescent="0.35">
      <c r="A61" s="326"/>
      <c r="B61" s="326"/>
      <c r="C61" s="326"/>
      <c r="D61" s="326"/>
      <c r="E61" s="326" t="s">
        <v>666</v>
      </c>
      <c r="F61" s="326"/>
      <c r="G61" s="326"/>
      <c r="H61" s="326"/>
      <c r="I61" s="349">
        <f>ROUND(SUM(I59:I60),5)</f>
        <v>0</v>
      </c>
      <c r="J61" s="328"/>
      <c r="K61" s="349">
        <f>ROUND(SUM(K59:K60),5)</f>
        <v>1585.18</v>
      </c>
      <c r="L61" s="328"/>
      <c r="M61" s="350">
        <f>ROUND(SUM(I61:K61),5)</f>
        <v>1585.18</v>
      </c>
      <c r="N61" s="328"/>
      <c r="O61" s="349">
        <f>ROUND(SUM(O59:O60),5)</f>
        <v>0</v>
      </c>
      <c r="P61" s="328"/>
      <c r="Q61" s="349">
        <f>ROUND(SUM(Q59:Q60),5)</f>
        <v>0</v>
      </c>
      <c r="R61" s="328"/>
      <c r="S61" s="349">
        <f>ROUND(SUM(S59:S60),5)</f>
        <v>0</v>
      </c>
      <c r="T61" s="328"/>
      <c r="U61" s="351">
        <f>ROUND(SUM(O61:S61),5)</f>
        <v>0</v>
      </c>
      <c r="V61" s="328"/>
      <c r="W61" s="349">
        <f>ROUND(SUM(W59:W60),5)</f>
        <v>7080</v>
      </c>
      <c r="X61" s="328"/>
      <c r="Y61" s="349">
        <f>ROUND(SUM(Y59:Y60),5)</f>
        <v>0</v>
      </c>
      <c r="Z61" s="328"/>
      <c r="AA61" s="349">
        <f>ROUND(SUM(AA59:AA60),5)</f>
        <v>4472663.29</v>
      </c>
      <c r="AB61" s="328"/>
      <c r="AC61" s="349">
        <f>ROUND(SUM(AC59:AC60),5)</f>
        <v>0</v>
      </c>
      <c r="AD61" s="328"/>
      <c r="AE61" s="349">
        <f>ROUND(SUM(AE59:AE60),5)</f>
        <v>7358.96</v>
      </c>
      <c r="AF61" s="328"/>
      <c r="AG61" s="352">
        <f>ROUND(SUM(AA61:AE61),5)</f>
        <v>4480022.25</v>
      </c>
      <c r="AH61" s="328"/>
      <c r="AI61" s="349">
        <f>ROUND(SUM(AI59:AI60),5)</f>
        <v>326734.59000000003</v>
      </c>
      <c r="AJ61" s="328"/>
      <c r="AK61" s="349">
        <f>ROUND(SUM(AK59:AK60),5)</f>
        <v>91091.7</v>
      </c>
      <c r="AL61" s="328"/>
      <c r="AM61" s="349">
        <f>ROUND(SUM(AM59:AM60),5)</f>
        <v>135507.97</v>
      </c>
      <c r="AN61" s="328"/>
      <c r="AO61" s="349">
        <f>ROUND(SUM(AO59:AO60),5)</f>
        <v>161797.44</v>
      </c>
      <c r="AP61" s="328"/>
      <c r="AQ61" s="349">
        <f>ROUND(SUM(AI61:AO61),5)</f>
        <v>715131.7</v>
      </c>
      <c r="AR61" s="328"/>
      <c r="AS61" s="349">
        <f>ROUND(SUM(AS59:AS60),5)</f>
        <v>12800.64</v>
      </c>
      <c r="AT61" s="328"/>
      <c r="AU61" s="349">
        <f>ROUND(SUM(AU59:AU60),5)</f>
        <v>192909.29</v>
      </c>
      <c r="AV61" s="328"/>
      <c r="AW61" s="349">
        <f>ROUND(SUM(AW59:AW60),5)</f>
        <v>11859.6</v>
      </c>
      <c r="AX61" s="328"/>
      <c r="AY61" s="349">
        <f>ROUND(SUM(AY59:AY60),5)</f>
        <v>29897.89</v>
      </c>
      <c r="AZ61" s="328"/>
      <c r="BA61" s="349">
        <f>ROUND(SUM(BA59:BA60),5)</f>
        <v>229858.2</v>
      </c>
      <c r="BB61" s="328"/>
      <c r="BC61" s="349">
        <f>ROUND(SUM(BC59:BC60),5)</f>
        <v>20634.88</v>
      </c>
      <c r="BD61" s="328"/>
      <c r="BE61" s="349">
        <f>ROUND(SUM(BE59:BE60),5)</f>
        <v>175964.15</v>
      </c>
      <c r="BF61" s="328"/>
      <c r="BG61" s="349">
        <f>ROUND(SUM(BG59:BG60),5)</f>
        <v>13325.23</v>
      </c>
      <c r="BH61" s="328"/>
      <c r="BI61" s="349">
        <f>ROUND(SUM(BI59:BI60),5)</f>
        <v>142124.88</v>
      </c>
      <c r="BJ61" s="328"/>
      <c r="BK61" s="349">
        <f>ROUND(SUM(BK59:BK60),5)</f>
        <v>0</v>
      </c>
      <c r="BL61" s="328"/>
      <c r="BM61" s="349">
        <f>ROUND(SUM(AU61:BK61),5)</f>
        <v>816574.12</v>
      </c>
      <c r="BN61" s="328"/>
      <c r="BO61" s="349">
        <f>ROUND(SUM(W61:Y61)+AG61+SUM(AQ61:AS61)+BM61,5)</f>
        <v>6031608.71</v>
      </c>
      <c r="BP61" s="328"/>
      <c r="BQ61" s="352">
        <f>ROUND(SUM(BQ59:BQ60),5)</f>
        <v>559.98</v>
      </c>
      <c r="BR61" s="328"/>
      <c r="BS61" s="349">
        <f>ROUND(SUM(BS59:BS60),5)</f>
        <v>10957.32</v>
      </c>
      <c r="BT61" s="328"/>
      <c r="BU61" s="352">
        <f>ROUND(SUM(BU59:BU60),5)</f>
        <v>0</v>
      </c>
      <c r="BV61" s="328"/>
      <c r="BW61" s="349">
        <f>ROUND(SUM(BW59:BW60),5)</f>
        <v>97549.5</v>
      </c>
      <c r="BX61" s="328"/>
      <c r="BY61" s="349">
        <f>ROUND(SUM(BY59:BY60),5)</f>
        <v>60591.6</v>
      </c>
      <c r="BZ61" s="328"/>
      <c r="CA61" s="352">
        <f>ROUND(SUM(CA59:CA60),5)</f>
        <v>328901.57</v>
      </c>
      <c r="CB61" s="328"/>
      <c r="CC61" s="352">
        <f>ROUND(SUM(CC59:CC60),5)</f>
        <v>72000</v>
      </c>
      <c r="CD61" s="328"/>
      <c r="CE61" s="349">
        <f>ROUND(SUM(CE59:CE60),5)</f>
        <v>11593.95</v>
      </c>
      <c r="CF61" s="328"/>
      <c r="CG61" s="349">
        <f>ROUND(SUM(CG59:CG60),5)</f>
        <v>26851.96</v>
      </c>
      <c r="CH61" s="328"/>
      <c r="CI61" s="349">
        <f>ROUND(SUM(CI59:CI60),5)</f>
        <v>20003.990000000002</v>
      </c>
      <c r="CJ61" s="328"/>
      <c r="CK61" s="349">
        <f>ROUND(SUM(CK59:CK60),5)</f>
        <v>5683.36</v>
      </c>
      <c r="CL61" s="328"/>
      <c r="CM61" s="353">
        <f>ROUND(SUM(CE61:CK61),5)</f>
        <v>64133.26</v>
      </c>
      <c r="CN61" s="328"/>
      <c r="CO61" s="352">
        <f>ROUND(SUM(CO59:CO60),5)</f>
        <v>0</v>
      </c>
      <c r="CP61" s="328"/>
      <c r="CQ61" s="349">
        <f>ROUND(SUM(CQ59:CQ60),5)</f>
        <v>15781.43</v>
      </c>
      <c r="CR61" s="328"/>
      <c r="CS61" s="349">
        <f>ROUND(SUM(BQ61:CC61)+SUM(CM61:CQ61),5)</f>
        <v>650474.66</v>
      </c>
      <c r="CT61" s="328"/>
      <c r="CU61" s="349">
        <f>ROUND(BO61+CS61,5)</f>
        <v>6682083.3700000001</v>
      </c>
      <c r="CV61" s="328"/>
      <c r="CW61" s="350">
        <f>ROUND(SUM(CW59:CW60),5)</f>
        <v>0</v>
      </c>
      <c r="CX61" s="328"/>
      <c r="CY61" s="349">
        <f>ROUND(M61+U61+SUM(CU61:CW61),5)</f>
        <v>6683668.5499999998</v>
      </c>
      <c r="DA61" s="344">
        <f t="shared" si="10"/>
        <v>4881483.8</v>
      </c>
      <c r="DB61" s="344"/>
      <c r="DC61" s="344">
        <f t="shared" si="11"/>
        <v>1736466.31</v>
      </c>
    </row>
    <row r="62" spans="1:107" ht="15" thickBot="1" x14ac:dyDescent="0.35">
      <c r="A62" s="326"/>
      <c r="B62" s="326"/>
      <c r="C62" s="326"/>
      <c r="D62" s="326" t="s">
        <v>667</v>
      </c>
      <c r="E62" s="326"/>
      <c r="F62" s="326"/>
      <c r="G62" s="326"/>
      <c r="H62" s="326"/>
      <c r="I62" s="334">
        <f>ROUND(I14+I17+I58+I61,5)</f>
        <v>31653.96</v>
      </c>
      <c r="J62" s="328"/>
      <c r="K62" s="334">
        <f>ROUND(K14+K17+K58+K61,5)</f>
        <v>953340.37</v>
      </c>
      <c r="L62" s="328"/>
      <c r="M62" s="335">
        <f>ROUND(SUM(I62:K62),5)</f>
        <v>984994.33</v>
      </c>
      <c r="N62" s="328"/>
      <c r="O62" s="334">
        <f>ROUND(O14+O17+O58+O61,5)</f>
        <v>88.82</v>
      </c>
      <c r="P62" s="328"/>
      <c r="Q62" s="334">
        <f>ROUND(Q14+Q17+Q58+Q61,5)</f>
        <v>9388.2199999999993</v>
      </c>
      <c r="R62" s="328"/>
      <c r="S62" s="334">
        <f>ROUND(S14+S17+S58+S61,5)</f>
        <v>310396.13</v>
      </c>
      <c r="T62" s="328"/>
      <c r="U62" s="336">
        <f>ROUND(SUM(O62:S62),5)</f>
        <v>319873.17</v>
      </c>
      <c r="V62" s="328"/>
      <c r="W62" s="334">
        <f>ROUND(W14+W17+W58+W61,5)</f>
        <v>161695.81</v>
      </c>
      <c r="X62" s="328"/>
      <c r="Y62" s="334">
        <f>ROUND(Y14+Y17+Y58+Y61,5)</f>
        <v>132020.56</v>
      </c>
      <c r="Z62" s="328"/>
      <c r="AA62" s="334">
        <f>ROUND(AA14+AA17+AA58+AA61,5)</f>
        <v>4557346.04</v>
      </c>
      <c r="AB62" s="328"/>
      <c r="AC62" s="334">
        <f>ROUND(AC14+AC17+AC58+AC61,5)</f>
        <v>78548.5</v>
      </c>
      <c r="AD62" s="328"/>
      <c r="AE62" s="334">
        <f>ROUND(AE14+AE17+AE58+AE61,5)</f>
        <v>7358.96</v>
      </c>
      <c r="AF62" s="328"/>
      <c r="AG62" s="337">
        <f>ROUND(SUM(AA62:AE62),5)</f>
        <v>4643253.5</v>
      </c>
      <c r="AH62" s="328"/>
      <c r="AI62" s="334">
        <f>ROUND(AI14+AI17+AI58+AI61,5)</f>
        <v>408268.67</v>
      </c>
      <c r="AJ62" s="328"/>
      <c r="AK62" s="334">
        <f>ROUND(AK14+AK17+AK58+AK61,5)</f>
        <v>279561.32</v>
      </c>
      <c r="AL62" s="328"/>
      <c r="AM62" s="334">
        <f>ROUND(AM14+AM17+AM58+AM61,5)</f>
        <v>327504.61</v>
      </c>
      <c r="AN62" s="328"/>
      <c r="AO62" s="334">
        <f>ROUND(AO14+AO17+AO58+AO61,5)</f>
        <v>568936.06000000006</v>
      </c>
      <c r="AP62" s="328"/>
      <c r="AQ62" s="334">
        <f>ROUND(SUM(AI62:AO62),5)</f>
        <v>1584270.66</v>
      </c>
      <c r="AR62" s="328"/>
      <c r="AS62" s="334">
        <f>ROUND(AS14+AS17+AS58+AS61,5)</f>
        <v>81795.679999999993</v>
      </c>
      <c r="AT62" s="328"/>
      <c r="AU62" s="334">
        <f>ROUND(AU14+AU17+AU58+AU61,5)</f>
        <v>192909.29</v>
      </c>
      <c r="AV62" s="328"/>
      <c r="AW62" s="334">
        <f>ROUND(AW14+AW17+AW58+AW61,5)</f>
        <v>98845.85</v>
      </c>
      <c r="AX62" s="328"/>
      <c r="AY62" s="334">
        <f>ROUND(AY14+AY17+AY58+AY61,5)</f>
        <v>80559.41</v>
      </c>
      <c r="AZ62" s="328"/>
      <c r="BA62" s="334">
        <f>ROUND(BA14+BA17+BA58+BA61,5)</f>
        <v>357635.71</v>
      </c>
      <c r="BB62" s="328"/>
      <c r="BC62" s="334">
        <f>ROUND(BC14+BC17+BC58+BC61,5)</f>
        <v>90439.81</v>
      </c>
      <c r="BD62" s="328"/>
      <c r="BE62" s="334">
        <f>ROUND(BE14+BE17+BE58+BE61,5)</f>
        <v>612346.19999999995</v>
      </c>
      <c r="BF62" s="328"/>
      <c r="BG62" s="334">
        <f>ROUND(BG14+BG17+BG58+BG61,5)</f>
        <v>13325.23</v>
      </c>
      <c r="BH62" s="328"/>
      <c r="BI62" s="334">
        <f>ROUND(BI14+BI17+BI58+BI61,5)</f>
        <v>142124.88</v>
      </c>
      <c r="BJ62" s="328"/>
      <c r="BK62" s="334">
        <f>ROUND(BK14+BK17+BK58+BK61,5)</f>
        <v>2379</v>
      </c>
      <c r="BL62" s="328"/>
      <c r="BM62" s="334">
        <f>ROUND(SUM(AU62:BK62),5)</f>
        <v>1590565.38</v>
      </c>
      <c r="BN62" s="328"/>
      <c r="BO62" s="334">
        <f>ROUND(SUM(W62:Y62)+AG62+SUM(AQ62:AS62)+BM62,5)</f>
        <v>8193601.5899999999</v>
      </c>
      <c r="BP62" s="328"/>
      <c r="BQ62" s="337">
        <f>ROUND(BQ14+BQ17+BQ58+BQ61,5)</f>
        <v>735854.13</v>
      </c>
      <c r="BR62" s="328"/>
      <c r="BS62" s="334">
        <f>ROUND(BS14+BS17+BS58+BS61,5)</f>
        <v>10957.32</v>
      </c>
      <c r="BT62" s="328"/>
      <c r="BU62" s="337">
        <f>ROUND(BU14+BU17+BU58+BU61,5)</f>
        <v>76016.41</v>
      </c>
      <c r="BV62" s="328"/>
      <c r="BW62" s="334">
        <f>ROUND(BW14+BW17+BW58+BW61,5)</f>
        <v>317191.89</v>
      </c>
      <c r="BX62" s="328"/>
      <c r="BY62" s="334">
        <f>ROUND(BY14+BY17+BY58+BY61,5)</f>
        <v>60591.6</v>
      </c>
      <c r="BZ62" s="328"/>
      <c r="CA62" s="337">
        <f>ROUND(CA14+CA17+CA58+CA61,5)</f>
        <v>943247.97</v>
      </c>
      <c r="CB62" s="328"/>
      <c r="CC62" s="337">
        <f>ROUND(CC14+CC17+CC58+CC61,5)</f>
        <v>72000</v>
      </c>
      <c r="CD62" s="328"/>
      <c r="CE62" s="334">
        <f>ROUND(CE14+CE17+CE58+CE61,5)</f>
        <v>11593.95</v>
      </c>
      <c r="CF62" s="328"/>
      <c r="CG62" s="334">
        <f>ROUND(CG14+CG17+CG58+CG61,5)</f>
        <v>26907.68</v>
      </c>
      <c r="CH62" s="328"/>
      <c r="CI62" s="334">
        <f>ROUND(CI14+CI17+CI58+CI61,5)</f>
        <v>28254.5</v>
      </c>
      <c r="CJ62" s="328"/>
      <c r="CK62" s="334">
        <f>ROUND(CK14+CK17+CK58+CK61,5)</f>
        <v>252438.47</v>
      </c>
      <c r="CL62" s="328"/>
      <c r="CM62" s="338">
        <f>ROUND(SUM(CE62:CK62),5)</f>
        <v>319194.59999999998</v>
      </c>
      <c r="CN62" s="328"/>
      <c r="CO62" s="337">
        <f>ROUND(CO14+CO17+CO58+CO61,5)</f>
        <v>50207.56</v>
      </c>
      <c r="CP62" s="328"/>
      <c r="CQ62" s="334">
        <f>ROUND(CQ14+CQ17+CQ58+CQ61,5)</f>
        <v>15781.43</v>
      </c>
      <c r="CR62" s="328"/>
      <c r="CS62" s="334">
        <f>ROUND(SUM(BQ62:CC62)+SUM(CM62:CQ62),5)</f>
        <v>2601042.91</v>
      </c>
      <c r="CT62" s="328"/>
      <c r="CU62" s="334">
        <f>ROUND(BO62+CS62,5)</f>
        <v>10794644.5</v>
      </c>
      <c r="CV62" s="328"/>
      <c r="CW62" s="335">
        <f>ROUND(CW14+CW17+CW58+CW61,5)</f>
        <v>15133.87</v>
      </c>
      <c r="CX62" s="328"/>
      <c r="CY62" s="334">
        <f>ROUND(M62+U62+SUM(CU62:CW62),5)</f>
        <v>12114645.869999999</v>
      </c>
      <c r="DA62" s="344">
        <f t="shared" si="10"/>
        <v>6520579.5700000003</v>
      </c>
      <c r="DB62" s="344"/>
      <c r="DC62" s="344">
        <f t="shared" si="11"/>
        <v>3954870.33</v>
      </c>
    </row>
    <row r="63" spans="1:107" x14ac:dyDescent="0.3">
      <c r="A63" s="326"/>
      <c r="B63" s="326" t="s">
        <v>668</v>
      </c>
      <c r="C63" s="326"/>
      <c r="D63" s="326"/>
      <c r="E63" s="326"/>
      <c r="F63" s="326"/>
      <c r="G63" s="326"/>
      <c r="H63" s="326"/>
      <c r="I63" s="327">
        <f>ROUND(I3+I13-I62,5)</f>
        <v>0</v>
      </c>
      <c r="J63" s="328"/>
      <c r="K63" s="327">
        <f>ROUND(K3+K13-K62,5)</f>
        <v>-763684.18</v>
      </c>
      <c r="L63" s="328"/>
      <c r="M63" s="329">
        <f>ROUND(SUM(I63:K63),5)</f>
        <v>-763684.18</v>
      </c>
      <c r="N63" s="328"/>
      <c r="O63" s="327">
        <f>ROUND(O3+O13-O62,5)</f>
        <v>520041.19</v>
      </c>
      <c r="P63" s="328"/>
      <c r="Q63" s="327">
        <f>ROUND(Q3+Q13-Q62,5)</f>
        <v>0</v>
      </c>
      <c r="R63" s="328"/>
      <c r="S63" s="327">
        <f>ROUND(S3+S13-S62,5)</f>
        <v>330793.57</v>
      </c>
      <c r="T63" s="328"/>
      <c r="U63" s="330">
        <f>ROUND(SUM(O63:S63),5)</f>
        <v>850834.76</v>
      </c>
      <c r="V63" s="328"/>
      <c r="W63" s="327">
        <f>ROUND(W3+W13-W62,5)</f>
        <v>23775.25</v>
      </c>
      <c r="X63" s="328"/>
      <c r="Y63" s="327">
        <f>ROUND(Y3+Y13-Y62,5)</f>
        <v>1142.25</v>
      </c>
      <c r="Z63" s="328"/>
      <c r="AA63" s="327">
        <f>ROUND(AA3+AA13-AA62,5)</f>
        <v>169942.29</v>
      </c>
      <c r="AB63" s="328"/>
      <c r="AC63" s="327">
        <f>ROUND(AC3+AC13-AC62,5)</f>
        <v>-63681.5</v>
      </c>
      <c r="AD63" s="328"/>
      <c r="AE63" s="327">
        <f>ROUND(AE3+AE13-AE62,5)</f>
        <v>0</v>
      </c>
      <c r="AF63" s="328"/>
      <c r="AG63" s="331">
        <f>ROUND(SUM(AA63:AE63),5)</f>
        <v>106260.79</v>
      </c>
      <c r="AH63" s="328"/>
      <c r="AI63" s="327">
        <f>ROUND(AI3+AI13-AI62,5)</f>
        <v>-141934.26999999999</v>
      </c>
      <c r="AJ63" s="328"/>
      <c r="AK63" s="327">
        <f>ROUND(AK3+AK13-AK62,5)</f>
        <v>-35384.5</v>
      </c>
      <c r="AL63" s="328"/>
      <c r="AM63" s="327">
        <f>ROUND(AM3+AM13-AM62,5)</f>
        <v>7888.33</v>
      </c>
      <c r="AN63" s="328"/>
      <c r="AO63" s="327">
        <f>ROUND(AO3+AO13-AO62,5)</f>
        <v>240844.43</v>
      </c>
      <c r="AP63" s="328"/>
      <c r="AQ63" s="327">
        <f>ROUND(SUM(AI63:AO63),5)</f>
        <v>71413.990000000005</v>
      </c>
      <c r="AR63" s="328"/>
      <c r="AS63" s="327">
        <f>ROUND(AS3+AS13-AS62,5)</f>
        <v>12085.7</v>
      </c>
      <c r="AT63" s="328"/>
      <c r="AU63" s="327">
        <f>ROUND(AU3+AU13-AU62,5)</f>
        <v>-70797.600000000006</v>
      </c>
      <c r="AV63" s="328"/>
      <c r="AW63" s="327">
        <f>ROUND(AW3+AW13-AW62,5)</f>
        <v>6260.07</v>
      </c>
      <c r="AX63" s="328"/>
      <c r="AY63" s="327">
        <f>ROUND(AY3+AY13-AY62,5)</f>
        <v>3644.08</v>
      </c>
      <c r="AZ63" s="328"/>
      <c r="BA63" s="327">
        <f>ROUND(BA3+BA13-BA62,5)</f>
        <v>2588.81</v>
      </c>
      <c r="BB63" s="328"/>
      <c r="BC63" s="327">
        <f>ROUND(BC3+BC13-BC62,5)</f>
        <v>6312.07</v>
      </c>
      <c r="BD63" s="328"/>
      <c r="BE63" s="327">
        <f>ROUND(BE3+BE13-BE62,5)</f>
        <v>-25258.66</v>
      </c>
      <c r="BF63" s="328"/>
      <c r="BG63" s="327">
        <f>ROUND(BG3+BG13-BG62,5)</f>
        <v>-6381.84</v>
      </c>
      <c r="BH63" s="328"/>
      <c r="BI63" s="327">
        <f>ROUND(BI3+BI13-BI62,5)</f>
        <v>71938.789999999994</v>
      </c>
      <c r="BJ63" s="328"/>
      <c r="BK63" s="327">
        <f>ROUND(BK3+BK13-BK62,5)</f>
        <v>-1937.69</v>
      </c>
      <c r="BL63" s="328"/>
      <c r="BM63" s="327">
        <f>ROUND(SUM(AU63:BK63),5)</f>
        <v>-13631.97</v>
      </c>
      <c r="BN63" s="328"/>
      <c r="BO63" s="327">
        <f>ROUND(SUM(W63:Y63)+AG63+SUM(AQ63:AS63)+BM63,5)</f>
        <v>201046.01</v>
      </c>
      <c r="BP63" s="328"/>
      <c r="BQ63" s="331">
        <f>ROUND(BQ3+BQ13-BQ62,5)</f>
        <v>33502.07</v>
      </c>
      <c r="BR63" s="328"/>
      <c r="BS63" s="327">
        <f>ROUND(BS3+BS13-BS62,5)</f>
        <v>3866.93</v>
      </c>
      <c r="BT63" s="328"/>
      <c r="BU63" s="331">
        <f>ROUND(BU3+BU13-BU62,5)</f>
        <v>0</v>
      </c>
      <c r="BV63" s="328"/>
      <c r="BW63" s="327">
        <f>ROUND(BW3+BW13-BW62,5)</f>
        <v>-1150.93</v>
      </c>
      <c r="BX63" s="328"/>
      <c r="BY63" s="327">
        <f>ROUND(BY3+BY13-BY62,5)</f>
        <v>0</v>
      </c>
      <c r="BZ63" s="328"/>
      <c r="CA63" s="331">
        <f>ROUND(CA3+CA13-CA62,5)</f>
        <v>0</v>
      </c>
      <c r="CB63" s="328"/>
      <c r="CC63" s="331">
        <f>ROUND(CC3+CC13-CC62,5)</f>
        <v>0</v>
      </c>
      <c r="CD63" s="328"/>
      <c r="CE63" s="327">
        <f>ROUND(CE3+CE13-CE62,5)</f>
        <v>0</v>
      </c>
      <c r="CF63" s="328"/>
      <c r="CG63" s="327">
        <f>ROUND(CG3+CG13-CG62,5)</f>
        <v>0</v>
      </c>
      <c r="CH63" s="328"/>
      <c r="CI63" s="327">
        <f>ROUND(CI3+CI13-CI62,5)</f>
        <v>-2716</v>
      </c>
      <c r="CJ63" s="328"/>
      <c r="CK63" s="327">
        <f>ROUND(CK3+CK13-CK62,5)</f>
        <v>0</v>
      </c>
      <c r="CL63" s="328"/>
      <c r="CM63" s="332">
        <f>ROUND(SUM(CE63:CK63),5)</f>
        <v>-2716</v>
      </c>
      <c r="CN63" s="328"/>
      <c r="CO63" s="331">
        <f>ROUND(CO3+CO13-CO62,5)</f>
        <v>207.56</v>
      </c>
      <c r="CP63" s="328"/>
      <c r="CQ63" s="327">
        <f>ROUND(CQ3+CQ13-CQ62,5)</f>
        <v>0</v>
      </c>
      <c r="CR63" s="328"/>
      <c r="CS63" s="327">
        <f>ROUND(SUM(BQ63:CC63)+SUM(CM63:CQ63),5)</f>
        <v>33709.629999999997</v>
      </c>
      <c r="CT63" s="328"/>
      <c r="CU63" s="327">
        <f>ROUND(BO63+CS63,5)</f>
        <v>234755.64</v>
      </c>
      <c r="CV63" s="328"/>
      <c r="CW63" s="329">
        <f>ROUND(CW3+CW13-CW62,5)</f>
        <v>-15133.87</v>
      </c>
      <c r="CX63" s="328"/>
      <c r="CY63" s="327">
        <f>ROUND(M63+U63+SUM(CU63:CW63),5)</f>
        <v>306772.34999999998</v>
      </c>
      <c r="DA63" s="344">
        <f t="shared" si="10"/>
        <v>139970.41999999998</v>
      </c>
      <c r="DB63" s="344"/>
      <c r="DC63" s="344">
        <f t="shared" si="11"/>
        <v>97501.22</v>
      </c>
    </row>
    <row r="64" spans="1:107" x14ac:dyDescent="0.3">
      <c r="A64" s="326"/>
      <c r="B64" s="326" t="s">
        <v>669</v>
      </c>
      <c r="C64" s="326"/>
      <c r="D64" s="326"/>
      <c r="E64" s="326"/>
      <c r="F64" s="326"/>
      <c r="G64" s="326"/>
      <c r="H64" s="326"/>
      <c r="I64" s="327"/>
      <c r="J64" s="328"/>
      <c r="K64" s="327"/>
      <c r="L64" s="328"/>
      <c r="M64" s="329"/>
      <c r="N64" s="328"/>
      <c r="O64" s="327"/>
      <c r="P64" s="328"/>
      <c r="Q64" s="327"/>
      <c r="R64" s="328"/>
      <c r="S64" s="327"/>
      <c r="T64" s="328"/>
      <c r="U64" s="330"/>
      <c r="V64" s="328"/>
      <c r="W64" s="327"/>
      <c r="X64" s="328"/>
      <c r="Y64" s="327"/>
      <c r="Z64" s="328"/>
      <c r="AA64" s="327"/>
      <c r="AB64" s="328"/>
      <c r="AC64" s="327"/>
      <c r="AD64" s="328"/>
      <c r="AE64" s="327"/>
      <c r="AF64" s="328"/>
      <c r="AG64" s="331"/>
      <c r="AH64" s="328"/>
      <c r="AI64" s="327"/>
      <c r="AJ64" s="328"/>
      <c r="AK64" s="327"/>
      <c r="AL64" s="328"/>
      <c r="AM64" s="327"/>
      <c r="AN64" s="328"/>
      <c r="AO64" s="327"/>
      <c r="AP64" s="328"/>
      <c r="AQ64" s="327"/>
      <c r="AR64" s="328"/>
      <c r="AS64" s="327"/>
      <c r="AT64" s="328"/>
      <c r="AU64" s="327"/>
      <c r="AV64" s="328"/>
      <c r="AW64" s="327"/>
      <c r="AX64" s="328"/>
      <c r="AY64" s="327"/>
      <c r="AZ64" s="328"/>
      <c r="BA64" s="327"/>
      <c r="BB64" s="328"/>
      <c r="BC64" s="327"/>
      <c r="BD64" s="328"/>
      <c r="BE64" s="327"/>
      <c r="BF64" s="328"/>
      <c r="BG64" s="327"/>
      <c r="BH64" s="328"/>
      <c r="BI64" s="327"/>
      <c r="BJ64" s="328"/>
      <c r="BK64" s="327"/>
      <c r="BL64" s="328"/>
      <c r="BM64" s="327"/>
      <c r="BN64" s="328"/>
      <c r="BO64" s="327"/>
      <c r="BP64" s="328"/>
      <c r="BQ64" s="331"/>
      <c r="BR64" s="328"/>
      <c r="BS64" s="327"/>
      <c r="BT64" s="328"/>
      <c r="BU64" s="331"/>
      <c r="BV64" s="328"/>
      <c r="BW64" s="327"/>
      <c r="BX64" s="328"/>
      <c r="BY64" s="327"/>
      <c r="BZ64" s="328"/>
      <c r="CA64" s="331"/>
      <c r="CB64" s="328"/>
      <c r="CC64" s="331"/>
      <c r="CD64" s="328"/>
      <c r="CE64" s="327"/>
      <c r="CF64" s="328"/>
      <c r="CG64" s="327"/>
      <c r="CH64" s="328"/>
      <c r="CI64" s="327"/>
      <c r="CJ64" s="328"/>
      <c r="CK64" s="327"/>
      <c r="CL64" s="328"/>
      <c r="CM64" s="332"/>
      <c r="CN64" s="328"/>
      <c r="CO64" s="331"/>
      <c r="CP64" s="328"/>
      <c r="CQ64" s="327"/>
      <c r="CR64" s="328"/>
      <c r="CS64" s="327"/>
      <c r="CT64" s="328"/>
      <c r="CU64" s="327"/>
      <c r="CV64" s="328"/>
      <c r="CW64" s="329"/>
      <c r="CX64" s="328"/>
      <c r="CY64" s="327"/>
      <c r="DA64" s="344">
        <f t="shared" si="10"/>
        <v>0</v>
      </c>
      <c r="DB64" s="344"/>
      <c r="DC64" s="344">
        <f t="shared" si="11"/>
        <v>0</v>
      </c>
    </row>
    <row r="65" spans="1:107" x14ac:dyDescent="0.3">
      <c r="A65" s="326"/>
      <c r="B65" s="326"/>
      <c r="C65" s="326" t="s">
        <v>670</v>
      </c>
      <c r="D65" s="326"/>
      <c r="E65" s="326"/>
      <c r="F65" s="326"/>
      <c r="G65" s="326"/>
      <c r="H65" s="326"/>
      <c r="I65" s="327"/>
      <c r="J65" s="328"/>
      <c r="K65" s="327"/>
      <c r="L65" s="328"/>
      <c r="M65" s="329"/>
      <c r="N65" s="328"/>
      <c r="O65" s="327"/>
      <c r="P65" s="328"/>
      <c r="Q65" s="327"/>
      <c r="R65" s="328"/>
      <c r="S65" s="327"/>
      <c r="T65" s="328"/>
      <c r="U65" s="330"/>
      <c r="V65" s="328"/>
      <c r="W65" s="327"/>
      <c r="X65" s="328"/>
      <c r="Y65" s="327"/>
      <c r="Z65" s="328"/>
      <c r="AA65" s="327"/>
      <c r="AB65" s="328"/>
      <c r="AC65" s="327"/>
      <c r="AD65" s="328"/>
      <c r="AE65" s="327"/>
      <c r="AF65" s="328"/>
      <c r="AG65" s="331"/>
      <c r="AH65" s="328"/>
      <c r="AI65" s="327"/>
      <c r="AJ65" s="328"/>
      <c r="AK65" s="327"/>
      <c r="AL65" s="328"/>
      <c r="AM65" s="327"/>
      <c r="AN65" s="328"/>
      <c r="AO65" s="327"/>
      <c r="AP65" s="328"/>
      <c r="AQ65" s="327"/>
      <c r="AR65" s="328"/>
      <c r="AS65" s="327"/>
      <c r="AT65" s="328"/>
      <c r="AU65" s="327"/>
      <c r="AV65" s="328"/>
      <c r="AW65" s="327"/>
      <c r="AX65" s="328"/>
      <c r="AY65" s="327"/>
      <c r="AZ65" s="328"/>
      <c r="BA65" s="327"/>
      <c r="BB65" s="328"/>
      <c r="BC65" s="327"/>
      <c r="BD65" s="328"/>
      <c r="BE65" s="327"/>
      <c r="BF65" s="328"/>
      <c r="BG65" s="327"/>
      <c r="BH65" s="328"/>
      <c r="BI65" s="327"/>
      <c r="BJ65" s="328"/>
      <c r="BK65" s="327"/>
      <c r="BL65" s="328"/>
      <c r="BM65" s="327"/>
      <c r="BN65" s="328"/>
      <c r="BO65" s="327"/>
      <c r="BP65" s="328"/>
      <c r="BQ65" s="331"/>
      <c r="BR65" s="328"/>
      <c r="BS65" s="327"/>
      <c r="BT65" s="328"/>
      <c r="BU65" s="331"/>
      <c r="BV65" s="328"/>
      <c r="BW65" s="327"/>
      <c r="BX65" s="328"/>
      <c r="BY65" s="327"/>
      <c r="BZ65" s="328"/>
      <c r="CA65" s="331"/>
      <c r="CB65" s="328"/>
      <c r="CC65" s="331"/>
      <c r="CD65" s="328"/>
      <c r="CE65" s="327"/>
      <c r="CF65" s="328"/>
      <c r="CG65" s="327"/>
      <c r="CH65" s="328"/>
      <c r="CI65" s="327"/>
      <c r="CJ65" s="328"/>
      <c r="CK65" s="327"/>
      <c r="CL65" s="328"/>
      <c r="CM65" s="332"/>
      <c r="CN65" s="328"/>
      <c r="CO65" s="331"/>
      <c r="CP65" s="328"/>
      <c r="CQ65" s="327"/>
      <c r="CR65" s="328"/>
      <c r="CS65" s="327"/>
      <c r="CT65" s="328"/>
      <c r="CU65" s="327"/>
      <c r="CV65" s="328"/>
      <c r="CW65" s="329"/>
      <c r="CX65" s="328"/>
      <c r="CY65" s="327"/>
      <c r="DA65" s="344">
        <f t="shared" si="10"/>
        <v>0</v>
      </c>
      <c r="DB65" s="344"/>
      <c r="DC65" s="344">
        <f t="shared" si="11"/>
        <v>0</v>
      </c>
    </row>
    <row r="66" spans="1:107" x14ac:dyDescent="0.3">
      <c r="A66" s="326"/>
      <c r="B66" s="326"/>
      <c r="C66" s="326"/>
      <c r="D66" s="326" t="s">
        <v>671</v>
      </c>
      <c r="E66" s="326"/>
      <c r="F66" s="326"/>
      <c r="G66" s="326"/>
      <c r="H66" s="326"/>
      <c r="I66" s="327"/>
      <c r="J66" s="328"/>
      <c r="K66" s="327"/>
      <c r="L66" s="328"/>
      <c r="M66" s="329"/>
      <c r="N66" s="328"/>
      <c r="O66" s="327"/>
      <c r="P66" s="328"/>
      <c r="Q66" s="327"/>
      <c r="R66" s="328"/>
      <c r="S66" s="327"/>
      <c r="T66" s="328"/>
      <c r="U66" s="330"/>
      <c r="V66" s="328"/>
      <c r="W66" s="327"/>
      <c r="X66" s="328"/>
      <c r="Y66" s="327"/>
      <c r="Z66" s="328"/>
      <c r="AA66" s="327"/>
      <c r="AB66" s="328"/>
      <c r="AC66" s="327"/>
      <c r="AD66" s="328"/>
      <c r="AE66" s="327"/>
      <c r="AF66" s="328"/>
      <c r="AG66" s="331"/>
      <c r="AH66" s="328"/>
      <c r="AI66" s="327"/>
      <c r="AJ66" s="328"/>
      <c r="AK66" s="327"/>
      <c r="AL66" s="328"/>
      <c r="AM66" s="327"/>
      <c r="AN66" s="328"/>
      <c r="AO66" s="327"/>
      <c r="AP66" s="328"/>
      <c r="AQ66" s="327"/>
      <c r="AR66" s="328"/>
      <c r="AS66" s="327"/>
      <c r="AT66" s="328"/>
      <c r="AU66" s="327"/>
      <c r="AV66" s="328"/>
      <c r="AW66" s="327"/>
      <c r="AX66" s="328"/>
      <c r="AY66" s="327"/>
      <c r="AZ66" s="328"/>
      <c r="BA66" s="327"/>
      <c r="BB66" s="328"/>
      <c r="BC66" s="327"/>
      <c r="BD66" s="328"/>
      <c r="BE66" s="327"/>
      <c r="BF66" s="328"/>
      <c r="BG66" s="327"/>
      <c r="BH66" s="328"/>
      <c r="BI66" s="327"/>
      <c r="BJ66" s="328"/>
      <c r="BK66" s="327"/>
      <c r="BL66" s="328"/>
      <c r="BM66" s="327"/>
      <c r="BN66" s="328"/>
      <c r="BO66" s="327"/>
      <c r="BP66" s="328"/>
      <c r="BQ66" s="331"/>
      <c r="BR66" s="328"/>
      <c r="BS66" s="327"/>
      <c r="BT66" s="328"/>
      <c r="BU66" s="331"/>
      <c r="BV66" s="328"/>
      <c r="BW66" s="327"/>
      <c r="BX66" s="328"/>
      <c r="BY66" s="327"/>
      <c r="BZ66" s="328"/>
      <c r="CA66" s="331"/>
      <c r="CB66" s="328"/>
      <c r="CC66" s="331"/>
      <c r="CD66" s="328"/>
      <c r="CE66" s="327"/>
      <c r="CF66" s="328"/>
      <c r="CG66" s="327"/>
      <c r="CH66" s="328"/>
      <c r="CI66" s="327"/>
      <c r="CJ66" s="328"/>
      <c r="CK66" s="327"/>
      <c r="CL66" s="328"/>
      <c r="CM66" s="332"/>
      <c r="CN66" s="328"/>
      <c r="CO66" s="331"/>
      <c r="CP66" s="328"/>
      <c r="CQ66" s="327"/>
      <c r="CR66" s="328"/>
      <c r="CS66" s="327"/>
      <c r="CT66" s="328"/>
      <c r="CU66" s="327"/>
      <c r="CV66" s="328"/>
      <c r="CW66" s="329"/>
      <c r="CX66" s="328"/>
      <c r="CY66" s="327"/>
      <c r="DA66" s="344">
        <f t="shared" si="10"/>
        <v>0</v>
      </c>
      <c r="DB66" s="344"/>
      <c r="DC66" s="344">
        <f t="shared" si="11"/>
        <v>0</v>
      </c>
    </row>
    <row r="67" spans="1:107" x14ac:dyDescent="0.3">
      <c r="A67" s="326"/>
      <c r="B67" s="326"/>
      <c r="C67" s="326"/>
      <c r="D67" s="326"/>
      <c r="E67" s="326" t="s">
        <v>672</v>
      </c>
      <c r="F67" s="326"/>
      <c r="G67" s="326"/>
      <c r="H67" s="326"/>
      <c r="I67" s="327">
        <v>33000</v>
      </c>
      <c r="J67" s="328"/>
      <c r="K67" s="327">
        <v>0</v>
      </c>
      <c r="L67" s="328"/>
      <c r="M67" s="329">
        <f>ROUND(SUM(I67:K67),5)</f>
        <v>33000</v>
      </c>
      <c r="N67" s="328"/>
      <c r="O67" s="327">
        <v>4450</v>
      </c>
      <c r="P67" s="328"/>
      <c r="Q67" s="327">
        <v>37100</v>
      </c>
      <c r="R67" s="328"/>
      <c r="S67" s="327">
        <v>0</v>
      </c>
      <c r="T67" s="328"/>
      <c r="U67" s="330">
        <f>ROUND(SUM(O67:S67),5)</f>
        <v>41550</v>
      </c>
      <c r="V67" s="328"/>
      <c r="W67" s="327">
        <v>0</v>
      </c>
      <c r="X67" s="328"/>
      <c r="Y67" s="327">
        <v>0</v>
      </c>
      <c r="Z67" s="328"/>
      <c r="AA67" s="327">
        <v>0</v>
      </c>
      <c r="AB67" s="328"/>
      <c r="AC67" s="327">
        <v>0</v>
      </c>
      <c r="AD67" s="328"/>
      <c r="AE67" s="327">
        <v>0</v>
      </c>
      <c r="AF67" s="328"/>
      <c r="AG67" s="331">
        <f>ROUND(SUM(AA67:AE67),5)</f>
        <v>0</v>
      </c>
      <c r="AH67" s="328"/>
      <c r="AI67" s="327">
        <v>0</v>
      </c>
      <c r="AJ67" s="328"/>
      <c r="AK67" s="327">
        <v>0</v>
      </c>
      <c r="AL67" s="328"/>
      <c r="AM67" s="327">
        <v>0</v>
      </c>
      <c r="AN67" s="328"/>
      <c r="AO67" s="327">
        <v>0</v>
      </c>
      <c r="AP67" s="328"/>
      <c r="AQ67" s="327">
        <f>ROUND(SUM(AI67:AO67),5)</f>
        <v>0</v>
      </c>
      <c r="AR67" s="328"/>
      <c r="AS67" s="327">
        <v>0</v>
      </c>
      <c r="AT67" s="328"/>
      <c r="AU67" s="327">
        <v>0</v>
      </c>
      <c r="AV67" s="328"/>
      <c r="AW67" s="327">
        <v>0</v>
      </c>
      <c r="AX67" s="328"/>
      <c r="AY67" s="327">
        <v>0</v>
      </c>
      <c r="AZ67" s="328"/>
      <c r="BA67" s="327">
        <v>0</v>
      </c>
      <c r="BB67" s="328"/>
      <c r="BC67" s="327">
        <v>0</v>
      </c>
      <c r="BD67" s="328"/>
      <c r="BE67" s="327">
        <v>0</v>
      </c>
      <c r="BF67" s="328"/>
      <c r="BG67" s="327">
        <v>0</v>
      </c>
      <c r="BH67" s="328"/>
      <c r="BI67" s="327">
        <v>0</v>
      </c>
      <c r="BJ67" s="328"/>
      <c r="BK67" s="327">
        <v>0</v>
      </c>
      <c r="BL67" s="328"/>
      <c r="BM67" s="327">
        <f>ROUND(SUM(AU67:BK67),5)</f>
        <v>0</v>
      </c>
      <c r="BN67" s="328"/>
      <c r="BO67" s="327">
        <f>ROUND(SUM(W67:Y67)+AG67+SUM(AQ67:AS67)+BM67,5)</f>
        <v>0</v>
      </c>
      <c r="BP67" s="328"/>
      <c r="BQ67" s="331">
        <v>123325.83</v>
      </c>
      <c r="BR67" s="328"/>
      <c r="BS67" s="327">
        <v>0</v>
      </c>
      <c r="BT67" s="328"/>
      <c r="BU67" s="331">
        <v>75000</v>
      </c>
      <c r="BV67" s="328"/>
      <c r="BW67" s="327">
        <v>107128.42</v>
      </c>
      <c r="BX67" s="328"/>
      <c r="BY67" s="327">
        <v>56500</v>
      </c>
      <c r="BZ67" s="328"/>
      <c r="CA67" s="331">
        <v>26097.32</v>
      </c>
      <c r="CB67" s="328"/>
      <c r="CC67" s="331">
        <v>0</v>
      </c>
      <c r="CD67" s="328"/>
      <c r="CE67" s="327">
        <v>18397.53</v>
      </c>
      <c r="CF67" s="328"/>
      <c r="CG67" s="327">
        <v>30558.46</v>
      </c>
      <c r="CH67" s="328"/>
      <c r="CI67" s="327">
        <v>16251.99</v>
      </c>
      <c r="CJ67" s="328"/>
      <c r="CK67" s="327">
        <v>63181.65</v>
      </c>
      <c r="CL67" s="328"/>
      <c r="CM67" s="332">
        <f>ROUND(SUM(CE67:CK67),5)</f>
        <v>128389.63</v>
      </c>
      <c r="CN67" s="328"/>
      <c r="CO67" s="331">
        <v>0</v>
      </c>
      <c r="CP67" s="328"/>
      <c r="CQ67" s="327">
        <v>27136.32</v>
      </c>
      <c r="CR67" s="328"/>
      <c r="CS67" s="327">
        <f>ROUND(SUM(BQ67:CC67)+SUM(CM67:CQ67),5)</f>
        <v>543577.52</v>
      </c>
      <c r="CT67" s="328"/>
      <c r="CU67" s="327">
        <f>ROUND(BO67+CS67,5)</f>
        <v>543577.52</v>
      </c>
      <c r="CV67" s="328"/>
      <c r="CW67" s="329">
        <v>0</v>
      </c>
      <c r="CX67" s="328"/>
      <c r="CY67" s="327">
        <f>ROUND(M67+U67+SUM(CU67:CW67),5)</f>
        <v>618127.52</v>
      </c>
      <c r="DA67" s="344">
        <f t="shared" si="10"/>
        <v>224423.15000000002</v>
      </c>
      <c r="DB67" s="344"/>
      <c r="DC67" s="344">
        <f t="shared" si="11"/>
        <v>190764.74</v>
      </c>
    </row>
    <row r="68" spans="1:107" ht="15" thickBot="1" x14ac:dyDescent="0.35">
      <c r="A68" s="326"/>
      <c r="B68" s="326"/>
      <c r="C68" s="326"/>
      <c r="D68" s="326"/>
      <c r="E68" s="326" t="s">
        <v>673</v>
      </c>
      <c r="F68" s="326"/>
      <c r="G68" s="326"/>
      <c r="H68" s="326"/>
      <c r="I68" s="327">
        <v>-31653.96</v>
      </c>
      <c r="J68" s="328"/>
      <c r="K68" s="327">
        <v>0</v>
      </c>
      <c r="L68" s="328"/>
      <c r="M68" s="329">
        <f>ROUND(SUM(I68:K68),5)</f>
        <v>-31653.96</v>
      </c>
      <c r="N68" s="328"/>
      <c r="O68" s="327">
        <v>0</v>
      </c>
      <c r="P68" s="328"/>
      <c r="Q68" s="327">
        <v>-9388.2199999999993</v>
      </c>
      <c r="R68" s="328"/>
      <c r="S68" s="327">
        <v>0</v>
      </c>
      <c r="T68" s="328"/>
      <c r="U68" s="330">
        <f>ROUND(SUM(O68:S68),5)</f>
        <v>-9388.2199999999993</v>
      </c>
      <c r="V68" s="328"/>
      <c r="W68" s="327">
        <v>0</v>
      </c>
      <c r="X68" s="328"/>
      <c r="Y68" s="327">
        <v>0</v>
      </c>
      <c r="Z68" s="328"/>
      <c r="AA68" s="327">
        <v>0</v>
      </c>
      <c r="AB68" s="328"/>
      <c r="AC68" s="327">
        <v>0</v>
      </c>
      <c r="AD68" s="328"/>
      <c r="AE68" s="327">
        <v>0</v>
      </c>
      <c r="AF68" s="328"/>
      <c r="AG68" s="331">
        <f>ROUND(SUM(AA68:AE68),5)</f>
        <v>0</v>
      </c>
      <c r="AH68" s="328"/>
      <c r="AI68" s="327">
        <v>0</v>
      </c>
      <c r="AJ68" s="328"/>
      <c r="AK68" s="327">
        <v>0</v>
      </c>
      <c r="AL68" s="328"/>
      <c r="AM68" s="327">
        <v>0</v>
      </c>
      <c r="AN68" s="328"/>
      <c r="AO68" s="327">
        <v>0</v>
      </c>
      <c r="AP68" s="328"/>
      <c r="AQ68" s="327">
        <f>ROUND(SUM(AI68:AO68),5)</f>
        <v>0</v>
      </c>
      <c r="AR68" s="328"/>
      <c r="AS68" s="327">
        <v>0</v>
      </c>
      <c r="AT68" s="328"/>
      <c r="AU68" s="327">
        <v>0</v>
      </c>
      <c r="AV68" s="328"/>
      <c r="AW68" s="327">
        <v>0</v>
      </c>
      <c r="AX68" s="328"/>
      <c r="AY68" s="327">
        <v>0</v>
      </c>
      <c r="AZ68" s="328"/>
      <c r="BA68" s="327">
        <v>0</v>
      </c>
      <c r="BB68" s="328"/>
      <c r="BC68" s="327">
        <v>0</v>
      </c>
      <c r="BD68" s="328"/>
      <c r="BE68" s="327">
        <v>0</v>
      </c>
      <c r="BF68" s="328"/>
      <c r="BG68" s="327">
        <v>0</v>
      </c>
      <c r="BH68" s="328"/>
      <c r="BI68" s="327">
        <v>0</v>
      </c>
      <c r="BJ68" s="328"/>
      <c r="BK68" s="327">
        <v>0</v>
      </c>
      <c r="BL68" s="328"/>
      <c r="BM68" s="327">
        <f>ROUND(SUM(AU68:BK68),5)</f>
        <v>0</v>
      </c>
      <c r="BN68" s="328"/>
      <c r="BO68" s="327">
        <f>ROUND(SUM(W68:Y68)+AG68+SUM(AQ68:AS68)+BM68,5)</f>
        <v>0</v>
      </c>
      <c r="BP68" s="328"/>
      <c r="BQ68" s="331">
        <v>-656437.94999999995</v>
      </c>
      <c r="BR68" s="328"/>
      <c r="BS68" s="327">
        <v>-14824.25</v>
      </c>
      <c r="BT68" s="328"/>
      <c r="BU68" s="331">
        <v>-76016.41</v>
      </c>
      <c r="BV68" s="328"/>
      <c r="BW68" s="327">
        <v>-309217.69</v>
      </c>
      <c r="BX68" s="328"/>
      <c r="BY68" s="327">
        <v>-60591.6</v>
      </c>
      <c r="BZ68" s="328"/>
      <c r="CA68" s="331">
        <v>-939038.84</v>
      </c>
      <c r="CB68" s="328"/>
      <c r="CC68" s="331">
        <v>-72000</v>
      </c>
      <c r="CD68" s="328"/>
      <c r="CE68" s="327">
        <v>-8130.95</v>
      </c>
      <c r="CF68" s="328"/>
      <c r="CG68" s="327">
        <v>-1509.31</v>
      </c>
      <c r="CH68" s="328"/>
      <c r="CI68" s="327">
        <v>-25538.5</v>
      </c>
      <c r="CJ68" s="328"/>
      <c r="CK68" s="327">
        <v>-252438.47</v>
      </c>
      <c r="CL68" s="328"/>
      <c r="CM68" s="332">
        <f>ROUND(SUM(CE68:CK68),5)</f>
        <v>-287617.23</v>
      </c>
      <c r="CN68" s="328"/>
      <c r="CO68" s="331">
        <v>-50207.56</v>
      </c>
      <c r="CP68" s="328"/>
      <c r="CQ68" s="327">
        <v>-15781.43</v>
      </c>
      <c r="CR68" s="328"/>
      <c r="CS68" s="327">
        <f>ROUND(SUM(BQ68:CC68)+SUM(CM68:CQ68),5)</f>
        <v>-2481732.96</v>
      </c>
      <c r="CT68" s="328"/>
      <c r="CU68" s="327">
        <f>ROUND(BO68+CS68,5)</f>
        <v>-2481732.96</v>
      </c>
      <c r="CV68" s="328"/>
      <c r="CW68" s="329">
        <v>0</v>
      </c>
      <c r="CX68" s="328"/>
      <c r="CY68" s="327">
        <f>ROUND(M68+U68+SUM(CU68:CW68),5)</f>
        <v>-2522775.14</v>
      </c>
      <c r="DA68" s="344">
        <f t="shared" si="10"/>
        <v>-1793700.7599999998</v>
      </c>
      <c r="DB68" s="344"/>
      <c r="DC68" s="344">
        <f t="shared" si="11"/>
        <v>-400414.97</v>
      </c>
    </row>
    <row r="69" spans="1:107" ht="15" thickBot="1" x14ac:dyDescent="0.35">
      <c r="A69" s="326"/>
      <c r="B69" s="326"/>
      <c r="C69" s="326"/>
      <c r="D69" s="326" t="s">
        <v>674</v>
      </c>
      <c r="E69" s="326"/>
      <c r="F69" s="326"/>
      <c r="G69" s="326"/>
      <c r="H69" s="326"/>
      <c r="I69" s="334">
        <f>ROUND(SUM(I66:I68),5)</f>
        <v>1346.04</v>
      </c>
      <c r="J69" s="328"/>
      <c r="K69" s="334">
        <f>ROUND(SUM(K66:K68),5)</f>
        <v>0</v>
      </c>
      <c r="L69" s="328"/>
      <c r="M69" s="335">
        <f>ROUND(SUM(I69:K69),5)</f>
        <v>1346.04</v>
      </c>
      <c r="N69" s="328"/>
      <c r="O69" s="334">
        <f>ROUND(SUM(O66:O68),5)</f>
        <v>4450</v>
      </c>
      <c r="P69" s="328"/>
      <c r="Q69" s="334">
        <f>ROUND(SUM(Q66:Q68),5)</f>
        <v>27711.78</v>
      </c>
      <c r="R69" s="328"/>
      <c r="S69" s="334">
        <f>ROUND(SUM(S66:S68),5)</f>
        <v>0</v>
      </c>
      <c r="T69" s="328"/>
      <c r="U69" s="336">
        <f>ROUND(SUM(O69:S69),5)</f>
        <v>32161.78</v>
      </c>
      <c r="V69" s="328"/>
      <c r="W69" s="334">
        <f>ROUND(SUM(W66:W68),5)</f>
        <v>0</v>
      </c>
      <c r="X69" s="328"/>
      <c r="Y69" s="334">
        <f>ROUND(SUM(Y66:Y68),5)</f>
        <v>0</v>
      </c>
      <c r="Z69" s="328"/>
      <c r="AA69" s="334">
        <f>ROUND(SUM(AA66:AA68),5)</f>
        <v>0</v>
      </c>
      <c r="AB69" s="328"/>
      <c r="AC69" s="334">
        <f>ROUND(SUM(AC66:AC68),5)</f>
        <v>0</v>
      </c>
      <c r="AD69" s="328"/>
      <c r="AE69" s="334">
        <f>ROUND(SUM(AE66:AE68),5)</f>
        <v>0</v>
      </c>
      <c r="AF69" s="328"/>
      <c r="AG69" s="337">
        <f>ROUND(SUM(AA69:AE69),5)</f>
        <v>0</v>
      </c>
      <c r="AH69" s="328"/>
      <c r="AI69" s="334">
        <f>ROUND(SUM(AI66:AI68),5)</f>
        <v>0</v>
      </c>
      <c r="AJ69" s="328"/>
      <c r="AK69" s="334">
        <f>ROUND(SUM(AK66:AK68),5)</f>
        <v>0</v>
      </c>
      <c r="AL69" s="328"/>
      <c r="AM69" s="334">
        <f>ROUND(SUM(AM66:AM68),5)</f>
        <v>0</v>
      </c>
      <c r="AN69" s="328"/>
      <c r="AO69" s="334">
        <f>ROUND(SUM(AO66:AO68),5)</f>
        <v>0</v>
      </c>
      <c r="AP69" s="328"/>
      <c r="AQ69" s="334">
        <f>ROUND(SUM(AI69:AO69),5)</f>
        <v>0</v>
      </c>
      <c r="AR69" s="328"/>
      <c r="AS69" s="334">
        <f>ROUND(SUM(AS66:AS68),5)</f>
        <v>0</v>
      </c>
      <c r="AT69" s="328"/>
      <c r="AU69" s="334">
        <f>ROUND(SUM(AU66:AU68),5)</f>
        <v>0</v>
      </c>
      <c r="AV69" s="328"/>
      <c r="AW69" s="334">
        <f>ROUND(SUM(AW66:AW68),5)</f>
        <v>0</v>
      </c>
      <c r="AX69" s="328"/>
      <c r="AY69" s="334">
        <f>ROUND(SUM(AY66:AY68),5)</f>
        <v>0</v>
      </c>
      <c r="AZ69" s="328"/>
      <c r="BA69" s="334">
        <f>ROUND(SUM(BA66:BA68),5)</f>
        <v>0</v>
      </c>
      <c r="BB69" s="328"/>
      <c r="BC69" s="334">
        <f>ROUND(SUM(BC66:BC68),5)</f>
        <v>0</v>
      </c>
      <c r="BD69" s="328"/>
      <c r="BE69" s="334">
        <f>ROUND(SUM(BE66:BE68),5)</f>
        <v>0</v>
      </c>
      <c r="BF69" s="328"/>
      <c r="BG69" s="334">
        <f>ROUND(SUM(BG66:BG68),5)</f>
        <v>0</v>
      </c>
      <c r="BH69" s="328"/>
      <c r="BI69" s="334">
        <f>ROUND(SUM(BI66:BI68),5)</f>
        <v>0</v>
      </c>
      <c r="BJ69" s="328"/>
      <c r="BK69" s="334">
        <f>ROUND(SUM(BK66:BK68),5)</f>
        <v>0</v>
      </c>
      <c r="BL69" s="328"/>
      <c r="BM69" s="334">
        <f>ROUND(SUM(AU69:BK69),5)</f>
        <v>0</v>
      </c>
      <c r="BN69" s="328"/>
      <c r="BO69" s="334">
        <f>ROUND(SUM(W69:Y69)+AG69+SUM(AQ69:AS69)+BM69,5)</f>
        <v>0</v>
      </c>
      <c r="BP69" s="328"/>
      <c r="BQ69" s="337">
        <f>ROUND(SUM(BQ66:BQ68),5)</f>
        <v>-533112.12</v>
      </c>
      <c r="BR69" s="328"/>
      <c r="BS69" s="334">
        <f>ROUND(SUM(BS66:BS68),5)</f>
        <v>-14824.25</v>
      </c>
      <c r="BT69" s="328"/>
      <c r="BU69" s="337">
        <f>ROUND(SUM(BU66:BU68),5)</f>
        <v>-1016.41</v>
      </c>
      <c r="BV69" s="328"/>
      <c r="BW69" s="334">
        <f>ROUND(SUM(BW66:BW68),5)</f>
        <v>-202089.27</v>
      </c>
      <c r="BX69" s="328"/>
      <c r="BY69" s="334">
        <f>ROUND(SUM(BY66:BY68),5)</f>
        <v>-4091.6</v>
      </c>
      <c r="BZ69" s="328"/>
      <c r="CA69" s="337">
        <f>ROUND(SUM(CA66:CA68),5)</f>
        <v>-912941.52</v>
      </c>
      <c r="CB69" s="328"/>
      <c r="CC69" s="337">
        <f>ROUND(SUM(CC66:CC68),5)</f>
        <v>-72000</v>
      </c>
      <c r="CD69" s="328"/>
      <c r="CE69" s="334">
        <f>ROUND(SUM(CE66:CE68),5)</f>
        <v>10266.58</v>
      </c>
      <c r="CF69" s="328"/>
      <c r="CG69" s="334">
        <f>ROUND(SUM(CG66:CG68),5)</f>
        <v>29049.15</v>
      </c>
      <c r="CH69" s="328"/>
      <c r="CI69" s="334">
        <f>ROUND(SUM(CI66:CI68),5)</f>
        <v>-9286.51</v>
      </c>
      <c r="CJ69" s="328"/>
      <c r="CK69" s="334">
        <f>ROUND(SUM(CK66:CK68),5)</f>
        <v>-189256.82</v>
      </c>
      <c r="CL69" s="328"/>
      <c r="CM69" s="338">
        <f>ROUND(SUM(CE69:CK69),5)</f>
        <v>-159227.6</v>
      </c>
      <c r="CN69" s="328"/>
      <c r="CO69" s="337">
        <f>ROUND(SUM(CO66:CO68),5)</f>
        <v>-50207.56</v>
      </c>
      <c r="CP69" s="328"/>
      <c r="CQ69" s="334">
        <f>ROUND(SUM(CQ66:CQ68),5)</f>
        <v>11354.89</v>
      </c>
      <c r="CR69" s="328"/>
      <c r="CS69" s="334">
        <f>ROUND(SUM(BQ69:CC69)+SUM(CM69:CQ69),5)</f>
        <v>-1938155.44</v>
      </c>
      <c r="CT69" s="328"/>
      <c r="CU69" s="334">
        <f>ROUND(BO69+CS69,5)</f>
        <v>-1938155.44</v>
      </c>
      <c r="CV69" s="328"/>
      <c r="CW69" s="335">
        <f>ROUND(SUM(CW66:CW68),5)</f>
        <v>0</v>
      </c>
      <c r="CX69" s="328"/>
      <c r="CY69" s="334">
        <f>ROUND(M69+U69+SUM(CU69:CW69),5)</f>
        <v>-1904647.62</v>
      </c>
      <c r="DA69" s="344">
        <f t="shared" si="10"/>
        <v>-1569277.61</v>
      </c>
      <c r="DB69" s="344"/>
      <c r="DC69" s="344">
        <f t="shared" si="11"/>
        <v>-209650.22999999998</v>
      </c>
    </row>
    <row r="70" spans="1:107" x14ac:dyDescent="0.3">
      <c r="A70" s="326"/>
      <c r="B70" s="326"/>
      <c r="C70" s="326" t="s">
        <v>675</v>
      </c>
      <c r="D70" s="326"/>
      <c r="E70" s="326"/>
      <c r="F70" s="326"/>
      <c r="G70" s="326"/>
      <c r="H70" s="326"/>
      <c r="I70" s="327">
        <f>ROUND(I65+I69,5)</f>
        <v>1346.04</v>
      </c>
      <c r="J70" s="328"/>
      <c r="K70" s="327">
        <f>ROUND(K65+K69,5)</f>
        <v>0</v>
      </c>
      <c r="L70" s="328"/>
      <c r="M70" s="329">
        <f>ROUND(SUM(I70:K70),5)</f>
        <v>1346.04</v>
      </c>
      <c r="N70" s="328"/>
      <c r="O70" s="327">
        <f>ROUND(O65+O69,5)</f>
        <v>4450</v>
      </c>
      <c r="P70" s="328"/>
      <c r="Q70" s="327">
        <f>ROUND(Q65+Q69,5)</f>
        <v>27711.78</v>
      </c>
      <c r="R70" s="328"/>
      <c r="S70" s="327">
        <f>ROUND(S65+S69,5)</f>
        <v>0</v>
      </c>
      <c r="T70" s="328"/>
      <c r="U70" s="330">
        <f>ROUND(SUM(O70:S70),5)</f>
        <v>32161.78</v>
      </c>
      <c r="V70" s="328"/>
      <c r="W70" s="327">
        <f>ROUND(W65+W69,5)</f>
        <v>0</v>
      </c>
      <c r="X70" s="328"/>
      <c r="Y70" s="327">
        <f>ROUND(Y65+Y69,5)</f>
        <v>0</v>
      </c>
      <c r="Z70" s="328"/>
      <c r="AA70" s="327">
        <f>ROUND(AA65+AA69,5)</f>
        <v>0</v>
      </c>
      <c r="AB70" s="328"/>
      <c r="AC70" s="327">
        <f>ROUND(AC65+AC69,5)</f>
        <v>0</v>
      </c>
      <c r="AD70" s="328"/>
      <c r="AE70" s="327">
        <f>ROUND(AE65+AE69,5)</f>
        <v>0</v>
      </c>
      <c r="AF70" s="328"/>
      <c r="AG70" s="331">
        <f>ROUND(SUM(AA70:AE70),5)</f>
        <v>0</v>
      </c>
      <c r="AH70" s="328"/>
      <c r="AI70" s="327">
        <f>ROUND(AI65+AI69,5)</f>
        <v>0</v>
      </c>
      <c r="AJ70" s="328"/>
      <c r="AK70" s="327">
        <f>ROUND(AK65+AK69,5)</f>
        <v>0</v>
      </c>
      <c r="AL70" s="328"/>
      <c r="AM70" s="327">
        <f>ROUND(AM65+AM69,5)</f>
        <v>0</v>
      </c>
      <c r="AN70" s="328"/>
      <c r="AO70" s="327">
        <f>ROUND(AO65+AO69,5)</f>
        <v>0</v>
      </c>
      <c r="AP70" s="328"/>
      <c r="AQ70" s="327">
        <f>ROUND(SUM(AI70:AO70),5)</f>
        <v>0</v>
      </c>
      <c r="AR70" s="328"/>
      <c r="AS70" s="327">
        <f>ROUND(AS65+AS69,5)</f>
        <v>0</v>
      </c>
      <c r="AT70" s="328"/>
      <c r="AU70" s="327">
        <f>ROUND(AU65+AU69,5)</f>
        <v>0</v>
      </c>
      <c r="AV70" s="328"/>
      <c r="AW70" s="327">
        <f>ROUND(AW65+AW69,5)</f>
        <v>0</v>
      </c>
      <c r="AX70" s="328"/>
      <c r="AY70" s="327">
        <f>ROUND(AY65+AY69,5)</f>
        <v>0</v>
      </c>
      <c r="AZ70" s="328"/>
      <c r="BA70" s="327">
        <f>ROUND(BA65+BA69,5)</f>
        <v>0</v>
      </c>
      <c r="BB70" s="328"/>
      <c r="BC70" s="327">
        <f>ROUND(BC65+BC69,5)</f>
        <v>0</v>
      </c>
      <c r="BD70" s="328"/>
      <c r="BE70" s="327">
        <f>ROUND(BE65+BE69,5)</f>
        <v>0</v>
      </c>
      <c r="BF70" s="328"/>
      <c r="BG70" s="327">
        <f>ROUND(BG65+BG69,5)</f>
        <v>0</v>
      </c>
      <c r="BH70" s="328"/>
      <c r="BI70" s="327">
        <f>ROUND(BI65+BI69,5)</f>
        <v>0</v>
      </c>
      <c r="BJ70" s="328"/>
      <c r="BK70" s="327">
        <f>ROUND(BK65+BK69,5)</f>
        <v>0</v>
      </c>
      <c r="BL70" s="328"/>
      <c r="BM70" s="327">
        <f>ROUND(SUM(AU70:BK70),5)</f>
        <v>0</v>
      </c>
      <c r="BN70" s="328"/>
      <c r="BO70" s="327">
        <f>ROUND(SUM(W70:Y70)+AG70+SUM(AQ70:AS70)+BM70,5)</f>
        <v>0</v>
      </c>
      <c r="BP70" s="328"/>
      <c r="BQ70" s="331">
        <f>ROUND(BQ65+BQ69,5)</f>
        <v>-533112.12</v>
      </c>
      <c r="BR70" s="328"/>
      <c r="BS70" s="327">
        <f>ROUND(BS65+BS69,5)</f>
        <v>-14824.25</v>
      </c>
      <c r="BT70" s="328"/>
      <c r="BU70" s="331">
        <f>ROUND(BU65+BU69,5)</f>
        <v>-1016.41</v>
      </c>
      <c r="BV70" s="328"/>
      <c r="BW70" s="327">
        <f>ROUND(BW65+BW69,5)</f>
        <v>-202089.27</v>
      </c>
      <c r="BX70" s="328"/>
      <c r="BY70" s="327">
        <f>ROUND(BY65+BY69,5)</f>
        <v>-4091.6</v>
      </c>
      <c r="BZ70" s="328"/>
      <c r="CA70" s="331">
        <f>ROUND(CA65+CA69,5)</f>
        <v>-912941.52</v>
      </c>
      <c r="CB70" s="328"/>
      <c r="CC70" s="331">
        <f>ROUND(CC65+CC69,5)</f>
        <v>-72000</v>
      </c>
      <c r="CD70" s="328"/>
      <c r="CE70" s="327">
        <f>ROUND(CE65+CE69,5)</f>
        <v>10266.58</v>
      </c>
      <c r="CF70" s="328"/>
      <c r="CG70" s="327">
        <f>ROUND(CG65+CG69,5)</f>
        <v>29049.15</v>
      </c>
      <c r="CH70" s="328"/>
      <c r="CI70" s="327">
        <f>ROUND(CI65+CI69,5)</f>
        <v>-9286.51</v>
      </c>
      <c r="CJ70" s="328"/>
      <c r="CK70" s="327">
        <f>ROUND(CK65+CK69,5)</f>
        <v>-189256.82</v>
      </c>
      <c r="CL70" s="328"/>
      <c r="CM70" s="332">
        <f>ROUND(SUM(CE70:CK70),5)</f>
        <v>-159227.6</v>
      </c>
      <c r="CN70" s="328"/>
      <c r="CO70" s="331">
        <f>ROUND(CO65+CO69,5)</f>
        <v>-50207.56</v>
      </c>
      <c r="CP70" s="328"/>
      <c r="CQ70" s="327">
        <f>ROUND(CQ65+CQ69,5)</f>
        <v>11354.89</v>
      </c>
      <c r="CR70" s="328"/>
      <c r="CS70" s="327">
        <f>ROUND(SUM(BQ70:CC70)+SUM(CM70:CQ70),5)</f>
        <v>-1938155.44</v>
      </c>
      <c r="CT70" s="328"/>
      <c r="CU70" s="327">
        <f>ROUND(BO70+CS70,5)</f>
        <v>-1938155.44</v>
      </c>
      <c r="CV70" s="328"/>
      <c r="CW70" s="329">
        <f>ROUND(CW65+CW69,5)</f>
        <v>0</v>
      </c>
      <c r="CX70" s="328"/>
      <c r="CY70" s="327">
        <f>ROUND(M70+U70+SUM(CU70:CW70),5)</f>
        <v>-1904647.62</v>
      </c>
    </row>
  </sheetData>
  <autoFilter ref="A2:DC70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J95"/>
  <sheetViews>
    <sheetView workbookViewId="0">
      <selection activeCell="G3" sqref="G3"/>
    </sheetView>
  </sheetViews>
  <sheetFormatPr defaultRowHeight="14.4" x14ac:dyDescent="0.3"/>
  <cols>
    <col min="1" max="1" width="37.33203125" style="26" customWidth="1"/>
    <col min="2" max="3" width="14.33203125" bestFit="1" customWidth="1"/>
    <col min="4" max="4" width="12.44140625" customWidth="1"/>
    <col min="5" max="5" width="18.5546875" bestFit="1" customWidth="1"/>
    <col min="6" max="6" width="23.88671875" style="8" bestFit="1" customWidth="1"/>
    <col min="7" max="7" width="18" bestFit="1" customWidth="1"/>
    <col min="8" max="8" width="23.88671875" style="8" bestFit="1" customWidth="1"/>
    <col min="9" max="9" width="52.6640625" bestFit="1" customWidth="1"/>
    <col min="10" max="10" width="13.33203125" bestFit="1" customWidth="1"/>
  </cols>
  <sheetData>
    <row r="1" spans="1:9" x14ac:dyDescent="0.3">
      <c r="A1" s="126"/>
    </row>
    <row r="2" spans="1:9" ht="15" thickBot="1" x14ac:dyDescent="0.35"/>
    <row r="3" spans="1:9" s="37" customFormat="1" ht="31.5" customHeight="1" x14ac:dyDescent="0.3">
      <c r="A3" s="171" t="s">
        <v>59</v>
      </c>
      <c r="B3" s="172" t="s">
        <v>689</v>
      </c>
      <c r="C3" s="173" t="s">
        <v>259</v>
      </c>
      <c r="D3" s="173" t="s">
        <v>260</v>
      </c>
      <c r="E3" s="173" t="s">
        <v>261</v>
      </c>
      <c r="F3" s="172" t="s">
        <v>288</v>
      </c>
      <c r="G3" s="194" t="s">
        <v>690</v>
      </c>
      <c r="H3" s="158" t="s">
        <v>287</v>
      </c>
      <c r="I3" s="174"/>
    </row>
    <row r="4" spans="1:9" x14ac:dyDescent="0.3">
      <c r="A4" s="114" t="s">
        <v>315</v>
      </c>
      <c r="B4" s="303">
        <v>8394106</v>
      </c>
      <c r="C4" s="304"/>
      <c r="D4" s="22"/>
      <c r="E4" s="22"/>
      <c r="F4" s="302" t="s">
        <v>310</v>
      </c>
      <c r="G4" s="45">
        <v>3754153</v>
      </c>
      <c r="H4" s="238" t="s">
        <v>310</v>
      </c>
    </row>
    <row r="5" spans="1:9" x14ac:dyDescent="0.3">
      <c r="A5" s="114" t="s">
        <v>316</v>
      </c>
      <c r="B5" s="306">
        <v>873128</v>
      </c>
      <c r="C5" s="307"/>
      <c r="D5" s="312"/>
      <c r="E5" s="312"/>
      <c r="F5" s="376" t="s">
        <v>75</v>
      </c>
      <c r="G5" s="45">
        <v>3994993</v>
      </c>
      <c r="H5" s="235" t="s">
        <v>310</v>
      </c>
    </row>
    <row r="6" spans="1:9" x14ac:dyDescent="0.3">
      <c r="A6" s="114" t="s">
        <v>317</v>
      </c>
      <c r="B6" s="306">
        <v>873809</v>
      </c>
      <c r="C6" s="307"/>
      <c r="D6" s="312"/>
      <c r="E6" s="312"/>
      <c r="F6" s="255" t="s">
        <v>75</v>
      </c>
      <c r="G6" s="45">
        <v>421406</v>
      </c>
      <c r="H6" s="235" t="s">
        <v>310</v>
      </c>
    </row>
    <row r="7" spans="1:9" x14ac:dyDescent="0.3">
      <c r="A7" s="114" t="s">
        <v>318</v>
      </c>
      <c r="B7" s="306">
        <v>34712</v>
      </c>
      <c r="C7" s="307"/>
      <c r="D7" s="312"/>
      <c r="E7" s="312"/>
      <c r="F7" s="255" t="s">
        <v>232</v>
      </c>
      <c r="G7" s="45">
        <v>58835</v>
      </c>
      <c r="H7" s="40" t="s">
        <v>77</v>
      </c>
    </row>
    <row r="8" spans="1:9" x14ac:dyDescent="0.3">
      <c r="A8" s="114" t="s">
        <v>319</v>
      </c>
      <c r="B8" s="306">
        <v>152678</v>
      </c>
      <c r="C8" s="307"/>
      <c r="D8" s="312"/>
      <c r="E8" s="312"/>
      <c r="F8" s="235" t="s">
        <v>310</v>
      </c>
      <c r="G8" s="45">
        <v>145827</v>
      </c>
      <c r="H8" s="235" t="s">
        <v>310</v>
      </c>
    </row>
    <row r="9" spans="1:9" x14ac:dyDescent="0.3">
      <c r="A9" s="114" t="s">
        <v>320</v>
      </c>
      <c r="B9" s="303">
        <v>12254</v>
      </c>
      <c r="C9" s="304">
        <f>B9</f>
        <v>12254</v>
      </c>
      <c r="D9" s="22"/>
      <c r="E9" s="22"/>
      <c r="F9" s="255" t="s">
        <v>83</v>
      </c>
      <c r="G9" s="45">
        <v>42558</v>
      </c>
      <c r="H9" s="40" t="s">
        <v>83</v>
      </c>
    </row>
    <row r="10" spans="1:9" x14ac:dyDescent="0.3">
      <c r="A10" s="114" t="s">
        <v>321</v>
      </c>
      <c r="B10" s="303">
        <v>45367</v>
      </c>
      <c r="C10" s="304"/>
      <c r="D10" s="22"/>
      <c r="E10" s="22"/>
      <c r="F10" s="362" t="s">
        <v>310</v>
      </c>
      <c r="G10" s="45">
        <v>23463</v>
      </c>
      <c r="H10" s="235" t="s">
        <v>310</v>
      </c>
    </row>
    <row r="11" spans="1:9" x14ac:dyDescent="0.3">
      <c r="A11" s="114" t="s">
        <v>322</v>
      </c>
      <c r="B11" s="303">
        <v>138086</v>
      </c>
      <c r="C11" s="304"/>
      <c r="D11" s="22"/>
      <c r="E11" s="22"/>
      <c r="F11" s="362" t="s">
        <v>310</v>
      </c>
      <c r="G11" s="45">
        <v>12581</v>
      </c>
      <c r="H11" s="40">
        <v>3</v>
      </c>
    </row>
    <row r="12" spans="1:9" x14ac:dyDescent="0.3">
      <c r="A12" s="114"/>
      <c r="B12" s="303"/>
      <c r="C12" s="304"/>
      <c r="D12" s="22"/>
      <c r="E12" s="22"/>
      <c r="F12" s="255"/>
      <c r="G12" s="159"/>
      <c r="H12" s="160"/>
    </row>
    <row r="13" spans="1:9" s="174" customFormat="1" ht="20.25" customHeight="1" thickBot="1" x14ac:dyDescent="0.35">
      <c r="A13" s="175" t="s">
        <v>262</v>
      </c>
      <c r="B13" s="305">
        <f>SUM(B4:B12)</f>
        <v>10524140</v>
      </c>
      <c r="C13" s="305">
        <f>SUM(C4:C12)</f>
        <v>12254</v>
      </c>
      <c r="D13" s="176">
        <f>SUM(D4:D12)</f>
        <v>0</v>
      </c>
      <c r="E13" s="176">
        <f>SUM(E4:E12)</f>
        <v>0</v>
      </c>
      <c r="F13" s="256"/>
      <c r="G13" s="177">
        <f>SUM(G4:G12)</f>
        <v>8453816</v>
      </c>
      <c r="H13" s="178"/>
    </row>
    <row r="14" spans="1:9" ht="15.6" x14ac:dyDescent="0.3">
      <c r="A14" s="128" t="s">
        <v>263</v>
      </c>
      <c r="F14" s="359"/>
    </row>
    <row r="15" spans="1:9" x14ac:dyDescent="0.3">
      <c r="A15" s="127" t="s">
        <v>264</v>
      </c>
      <c r="B15" s="4">
        <f>+B13-B48-B7</f>
        <v>10458506</v>
      </c>
      <c r="C15" s="3">
        <v>10458506</v>
      </c>
      <c r="F15" s="359"/>
    </row>
    <row r="16" spans="1:9" ht="15" thickBot="1" x14ac:dyDescent="0.35">
      <c r="A16" s="127"/>
      <c r="F16" s="359"/>
    </row>
    <row r="17" spans="1:10" x14ac:dyDescent="0.3">
      <c r="A17" s="229" t="s">
        <v>315</v>
      </c>
      <c r="B17" s="180"/>
      <c r="C17" s="180"/>
      <c r="D17" s="180"/>
      <c r="E17" s="180"/>
      <c r="F17" s="363"/>
      <c r="G17" s="180"/>
      <c r="H17" s="230"/>
    </row>
    <row r="18" spans="1:10" x14ac:dyDescent="0.3">
      <c r="A18" s="32" t="s">
        <v>323</v>
      </c>
      <c r="B18" s="5">
        <v>1576392</v>
      </c>
      <c r="F18" s="8" t="s">
        <v>75</v>
      </c>
      <c r="G18" s="5">
        <v>1107619</v>
      </c>
      <c r="H18" s="231" t="s">
        <v>75</v>
      </c>
    </row>
    <row r="19" spans="1:10" x14ac:dyDescent="0.3">
      <c r="A19" s="32" t="s">
        <v>687</v>
      </c>
      <c r="B19" s="5">
        <v>4734647</v>
      </c>
      <c r="F19" s="8" t="s">
        <v>75</v>
      </c>
      <c r="G19" s="5"/>
      <c r="H19" s="231"/>
    </row>
    <row r="20" spans="1:10" x14ac:dyDescent="0.3">
      <c r="A20" s="32" t="s">
        <v>324</v>
      </c>
      <c r="B20" s="5">
        <f>+B4-B18-B19</f>
        <v>2083067</v>
      </c>
      <c r="F20" s="8" t="s">
        <v>73</v>
      </c>
      <c r="G20" s="5">
        <v>2646534</v>
      </c>
      <c r="H20" s="231" t="s">
        <v>73</v>
      </c>
    </row>
    <row r="21" spans="1:10" ht="15" thickBot="1" x14ac:dyDescent="0.35">
      <c r="A21" s="232" t="s">
        <v>141</v>
      </c>
      <c r="B21" s="233">
        <f>SUM(B18:B20)</f>
        <v>8394106</v>
      </c>
      <c r="C21" s="184"/>
      <c r="D21" s="184"/>
      <c r="E21" s="184"/>
      <c r="F21" s="364"/>
      <c r="G21" s="233">
        <f>SUM(G18:G20)</f>
        <v>3754153</v>
      </c>
      <c r="H21" s="234"/>
    </row>
    <row r="22" spans="1:10" x14ac:dyDescent="0.3">
      <c r="A22" s="24"/>
    </row>
    <row r="23" spans="1:10" ht="15" thickBot="1" x14ac:dyDescent="0.35">
      <c r="A23" s="24"/>
    </row>
    <row r="24" spans="1:10" x14ac:dyDescent="0.3">
      <c r="A24" s="229" t="s">
        <v>316</v>
      </c>
      <c r="B24" s="180"/>
      <c r="C24" s="180"/>
      <c r="D24" s="180"/>
      <c r="E24" s="180"/>
      <c r="F24" s="363"/>
      <c r="G24" s="180"/>
      <c r="H24" s="230"/>
    </row>
    <row r="25" spans="1:10" x14ac:dyDescent="0.3">
      <c r="A25" s="32" t="s">
        <v>325</v>
      </c>
      <c r="B25" s="5"/>
      <c r="C25" s="5"/>
      <c r="D25" s="5"/>
      <c r="E25" s="5"/>
      <c r="G25" s="5">
        <v>2665464</v>
      </c>
      <c r="H25" s="231" t="s">
        <v>73</v>
      </c>
      <c r="J25" s="4"/>
    </row>
    <row r="26" spans="1:10" x14ac:dyDescent="0.3">
      <c r="A26" s="32" t="s">
        <v>326</v>
      </c>
      <c r="B26" s="6"/>
      <c r="C26" s="5"/>
      <c r="D26" s="5"/>
      <c r="E26" s="5"/>
      <c r="G26" s="5">
        <v>25000</v>
      </c>
      <c r="H26" s="231" t="s">
        <v>77</v>
      </c>
      <c r="J26" s="4"/>
    </row>
    <row r="27" spans="1:10" x14ac:dyDescent="0.3">
      <c r="A27" s="32" t="s">
        <v>327</v>
      </c>
      <c r="B27" s="5"/>
      <c r="C27" s="5"/>
      <c r="D27" s="5"/>
      <c r="E27" s="5"/>
      <c r="G27" s="5">
        <v>3300</v>
      </c>
      <c r="H27" s="231" t="s">
        <v>77</v>
      </c>
    </row>
    <row r="28" spans="1:10" x14ac:dyDescent="0.3">
      <c r="A28" s="32" t="s">
        <v>328</v>
      </c>
      <c r="B28" s="5"/>
      <c r="C28" s="5"/>
      <c r="D28" s="5"/>
      <c r="E28" s="5"/>
      <c r="G28" s="5">
        <v>1301229</v>
      </c>
      <c r="H28" s="231" t="s">
        <v>75</v>
      </c>
    </row>
    <row r="29" spans="1:10" ht="15" thickBot="1" x14ac:dyDescent="0.35">
      <c r="A29" s="232" t="s">
        <v>141</v>
      </c>
      <c r="B29" s="239"/>
      <c r="C29" s="239"/>
      <c r="D29" s="239"/>
      <c r="E29" s="239"/>
      <c r="F29" s="364"/>
      <c r="G29" s="233">
        <f>SUM(G25:G28)</f>
        <v>3994993</v>
      </c>
      <c r="H29" s="234"/>
    </row>
    <row r="30" spans="1:10" x14ac:dyDescent="0.3">
      <c r="A30" s="24"/>
    </row>
    <row r="31" spans="1:10" ht="15" thickBot="1" x14ac:dyDescent="0.35">
      <c r="A31" s="24"/>
    </row>
    <row r="32" spans="1:10" x14ac:dyDescent="0.3">
      <c r="A32" s="229" t="s">
        <v>317</v>
      </c>
      <c r="B32" s="180"/>
      <c r="C32" s="180"/>
      <c r="D32" s="180"/>
      <c r="E32" s="180"/>
      <c r="F32" s="363"/>
      <c r="G32" s="180"/>
      <c r="H32" s="230"/>
    </row>
    <row r="33" spans="1:9" x14ac:dyDescent="0.3">
      <c r="A33" s="32" t="s">
        <v>327</v>
      </c>
      <c r="B33" s="5"/>
      <c r="C33" s="5"/>
      <c r="D33" s="5"/>
      <c r="E33" s="5"/>
      <c r="G33" s="5">
        <v>501</v>
      </c>
      <c r="H33" s="231" t="s">
        <v>77</v>
      </c>
    </row>
    <row r="34" spans="1:9" x14ac:dyDescent="0.3">
      <c r="A34" s="32" t="s">
        <v>329</v>
      </c>
      <c r="B34" s="5"/>
      <c r="C34" s="5"/>
      <c r="D34" s="5"/>
      <c r="E34" s="5"/>
      <c r="G34" s="5">
        <v>420905</v>
      </c>
      <c r="H34" s="231" t="s">
        <v>75</v>
      </c>
    </row>
    <row r="35" spans="1:9" ht="15" thickBot="1" x14ac:dyDescent="0.35">
      <c r="A35" s="232" t="s">
        <v>141</v>
      </c>
      <c r="B35" s="237"/>
      <c r="C35" s="237"/>
      <c r="D35" s="237"/>
      <c r="E35" s="237"/>
      <c r="F35" s="364"/>
      <c r="G35" s="233">
        <f>SUM(G33:G34)</f>
        <v>421406</v>
      </c>
      <c r="H35" s="234"/>
    </row>
    <row r="36" spans="1:9" x14ac:dyDescent="0.3">
      <c r="A36" s="24"/>
    </row>
    <row r="37" spans="1:9" ht="15" thickBot="1" x14ac:dyDescent="0.35">
      <c r="A37" s="24"/>
    </row>
    <row r="38" spans="1:9" x14ac:dyDescent="0.3">
      <c r="A38" s="229" t="s">
        <v>319</v>
      </c>
      <c r="B38" s="180"/>
      <c r="C38" s="180"/>
      <c r="D38" s="180"/>
      <c r="E38" s="180"/>
      <c r="F38" s="363"/>
      <c r="G38" s="180"/>
      <c r="H38" s="230"/>
    </row>
    <row r="39" spans="1:9" x14ac:dyDescent="0.3">
      <c r="A39" s="23" t="s">
        <v>70</v>
      </c>
      <c r="H39" s="231"/>
    </row>
    <row r="40" spans="1:9" x14ac:dyDescent="0.3">
      <c r="A40" s="32" t="s">
        <v>330</v>
      </c>
      <c r="B40" s="5">
        <f>-'TB Mapping '!E107</f>
        <v>200842</v>
      </c>
      <c r="C40" s="5"/>
      <c r="D40" s="5"/>
      <c r="E40" s="5"/>
      <c r="G40" s="5">
        <v>179757</v>
      </c>
      <c r="H40" s="231"/>
      <c r="I40" s="4"/>
    </row>
    <row r="41" spans="1:9" x14ac:dyDescent="0.3">
      <c r="A41" s="32" t="s">
        <v>331</v>
      </c>
      <c r="B41" s="5">
        <f>-'TB Mapping '!E109</f>
        <v>152678</v>
      </c>
      <c r="C41" s="5"/>
      <c r="D41" s="5"/>
      <c r="E41" s="5"/>
      <c r="F41" s="8" t="s">
        <v>69</v>
      </c>
      <c r="G41" s="5">
        <v>145827</v>
      </c>
      <c r="H41" s="231" t="s">
        <v>69</v>
      </c>
      <c r="I41" s="4"/>
    </row>
    <row r="42" spans="1:9" x14ac:dyDescent="0.3">
      <c r="A42" s="32" t="s">
        <v>332</v>
      </c>
      <c r="B42" s="5">
        <f>+B40-B41</f>
        <v>48164</v>
      </c>
      <c r="C42" s="5"/>
      <c r="D42" s="5"/>
      <c r="E42" s="5"/>
      <c r="F42" s="8" t="s">
        <v>115</v>
      </c>
      <c r="G42" s="5">
        <v>33930</v>
      </c>
      <c r="H42" s="231" t="s">
        <v>115</v>
      </c>
    </row>
    <row r="43" spans="1:9" x14ac:dyDescent="0.3">
      <c r="A43" s="32" t="s">
        <v>309</v>
      </c>
      <c r="B43" s="5">
        <f>'TB Mapping '!E108</f>
        <v>48164</v>
      </c>
      <c r="C43" s="5"/>
      <c r="D43" s="5"/>
      <c r="E43" s="5"/>
      <c r="F43" s="8" t="s">
        <v>117</v>
      </c>
      <c r="G43" s="5">
        <v>33930</v>
      </c>
      <c r="H43" s="231" t="s">
        <v>117</v>
      </c>
    </row>
    <row r="44" spans="1:9" ht="15" thickBot="1" x14ac:dyDescent="0.35">
      <c r="A44" s="236" t="s">
        <v>333</v>
      </c>
      <c r="B44" s="237">
        <f>+B42-B43</f>
        <v>0</v>
      </c>
      <c r="C44" s="237"/>
      <c r="D44" s="237"/>
      <c r="E44" s="237"/>
      <c r="F44" s="364"/>
      <c r="G44" s="237">
        <f>+G42-G43</f>
        <v>0</v>
      </c>
      <c r="H44" s="234"/>
    </row>
    <row r="45" spans="1:9" x14ac:dyDescent="0.3">
      <c r="A45" s="24"/>
    </row>
    <row r="46" spans="1:9" ht="15" thickBot="1" x14ac:dyDescent="0.35">
      <c r="A46" s="24"/>
    </row>
    <row r="47" spans="1:9" x14ac:dyDescent="0.3">
      <c r="A47" s="229" t="s">
        <v>321</v>
      </c>
      <c r="B47" s="180"/>
      <c r="C47" s="180"/>
      <c r="D47" s="180"/>
      <c r="E47" s="180"/>
      <c r="F47" s="363"/>
      <c r="G47" s="180"/>
      <c r="H47" s="230"/>
    </row>
    <row r="48" spans="1:9" x14ac:dyDescent="0.3">
      <c r="A48" s="32" t="s">
        <v>334</v>
      </c>
      <c r="B48" s="5">
        <v>30922</v>
      </c>
      <c r="C48" s="5"/>
      <c r="D48" s="5"/>
      <c r="E48" s="5"/>
      <c r="F48" s="8" t="s">
        <v>230</v>
      </c>
      <c r="G48" s="5">
        <v>6850</v>
      </c>
      <c r="H48" s="231" t="s">
        <v>230</v>
      </c>
    </row>
    <row r="49" spans="1:8" x14ac:dyDescent="0.3">
      <c r="A49" s="32" t="s">
        <v>335</v>
      </c>
      <c r="B49" s="5">
        <f>+B10-B48</f>
        <v>14445</v>
      </c>
      <c r="C49" s="5"/>
      <c r="D49" s="5"/>
      <c r="E49" s="5">
        <f>+B49</f>
        <v>14445</v>
      </c>
      <c r="F49" s="8">
        <v>3</v>
      </c>
      <c r="G49" s="5">
        <v>16777</v>
      </c>
      <c r="H49" s="231">
        <v>3</v>
      </c>
    </row>
    <row r="50" spans="1:8" x14ac:dyDescent="0.3">
      <c r="A50" s="32" t="s">
        <v>336</v>
      </c>
      <c r="B50" s="5"/>
      <c r="C50" s="5"/>
      <c r="D50" s="5"/>
      <c r="E50" s="5"/>
      <c r="G50" s="5">
        <v>-164</v>
      </c>
      <c r="H50" s="360" t="s">
        <v>310</v>
      </c>
    </row>
    <row r="51" spans="1:8" ht="15" thickBot="1" x14ac:dyDescent="0.35">
      <c r="A51" s="361"/>
      <c r="B51" s="233">
        <f>SUM(B48:B50)</f>
        <v>45367</v>
      </c>
      <c r="C51" s="237"/>
      <c r="D51" s="237"/>
      <c r="E51" s="237"/>
      <c r="F51" s="364"/>
      <c r="G51" s="237"/>
      <c r="H51" s="242"/>
    </row>
    <row r="52" spans="1:8" x14ac:dyDescent="0.3">
      <c r="A52" s="24"/>
    </row>
    <row r="53" spans="1:8" ht="15" thickBot="1" x14ac:dyDescent="0.35">
      <c r="A53" s="24"/>
    </row>
    <row r="54" spans="1:8" x14ac:dyDescent="0.3">
      <c r="A54" s="240" t="s">
        <v>337</v>
      </c>
      <c r="B54" s="241"/>
      <c r="C54" s="241"/>
      <c r="D54" s="241"/>
      <c r="E54" s="241"/>
      <c r="F54" s="363"/>
      <c r="G54" s="241">
        <v>103637</v>
      </c>
      <c r="H54" s="230" t="s">
        <v>339</v>
      </c>
    </row>
    <row r="55" spans="1:8" x14ac:dyDescent="0.3">
      <c r="A55" s="32" t="s">
        <v>338</v>
      </c>
      <c r="B55" s="5"/>
      <c r="C55" s="5"/>
      <c r="D55" s="5"/>
      <c r="E55" s="5"/>
      <c r="G55" s="5">
        <v>103801</v>
      </c>
      <c r="H55" s="231" t="s">
        <v>340</v>
      </c>
    </row>
    <row r="56" spans="1:8" ht="15" thickBot="1" x14ac:dyDescent="0.35">
      <c r="A56" s="232" t="s">
        <v>336</v>
      </c>
      <c r="B56" s="237"/>
      <c r="C56" s="237"/>
      <c r="D56" s="237"/>
      <c r="E56" s="237"/>
      <c r="F56" s="364"/>
      <c r="G56" s="190">
        <f>+G54-G55</f>
        <v>-164</v>
      </c>
      <c r="H56" s="234"/>
    </row>
    <row r="57" spans="1:8" x14ac:dyDescent="0.3">
      <c r="A57" s="24"/>
    </row>
    <row r="58" spans="1:8" ht="15" thickBot="1" x14ac:dyDescent="0.35">
      <c r="A58" s="24"/>
    </row>
    <row r="59" spans="1:8" x14ac:dyDescent="0.3">
      <c r="A59" s="229" t="s">
        <v>322</v>
      </c>
      <c r="B59" s="180"/>
      <c r="C59" s="180"/>
      <c r="D59" s="180"/>
      <c r="E59" s="180"/>
      <c r="F59" s="363"/>
      <c r="G59" s="180"/>
      <c r="H59" s="230"/>
    </row>
    <row r="60" spans="1:8" x14ac:dyDescent="0.3">
      <c r="A60" s="32" t="s">
        <v>335</v>
      </c>
      <c r="B60" s="5">
        <f>-'TB Mapping '!E118</f>
        <v>10329</v>
      </c>
      <c r="C60" s="5"/>
      <c r="D60" s="5"/>
      <c r="E60" s="5">
        <f>+B60</f>
        <v>10329</v>
      </c>
      <c r="F60" s="8">
        <v>3</v>
      </c>
      <c r="H60" s="231"/>
    </row>
    <row r="61" spans="1:8" x14ac:dyDescent="0.3">
      <c r="A61" s="32" t="s">
        <v>670</v>
      </c>
      <c r="B61" s="5">
        <f>-'TB Mapping '!E119</f>
        <v>127757</v>
      </c>
      <c r="C61" s="5">
        <f>+B61</f>
        <v>127757</v>
      </c>
      <c r="D61" s="5"/>
      <c r="E61" s="5"/>
      <c r="F61" s="8" t="s">
        <v>133</v>
      </c>
      <c r="H61" s="231"/>
    </row>
    <row r="62" spans="1:8" ht="15" thickBot="1" x14ac:dyDescent="0.35">
      <c r="A62" s="367" t="s">
        <v>141</v>
      </c>
      <c r="B62" s="233">
        <f>SUM(B60:B61)</f>
        <v>138086</v>
      </c>
      <c r="C62" s="237"/>
      <c r="D62" s="237"/>
      <c r="E62" s="237"/>
      <c r="F62" s="364"/>
      <c r="G62" s="184"/>
      <c r="H62" s="234"/>
    </row>
    <row r="63" spans="1:8" x14ac:dyDescent="0.3">
      <c r="A63" s="24"/>
    </row>
    <row r="64" spans="1:8" x14ac:dyDescent="0.3">
      <c r="A64" s="24"/>
    </row>
    <row r="65" spans="1:6" x14ac:dyDescent="0.3">
      <c r="A65" s="24"/>
    </row>
    <row r="66" spans="1:6" x14ac:dyDescent="0.3">
      <c r="A66" s="24"/>
    </row>
    <row r="67" spans="1:6" x14ac:dyDescent="0.3">
      <c r="A67" s="24"/>
    </row>
    <row r="68" spans="1:6" x14ac:dyDescent="0.3">
      <c r="A68" s="24"/>
    </row>
    <row r="69" spans="1:6" x14ac:dyDescent="0.3">
      <c r="A69" s="24"/>
    </row>
    <row r="70" spans="1:6" x14ac:dyDescent="0.3">
      <c r="A70" s="24"/>
    </row>
    <row r="71" spans="1:6" x14ac:dyDescent="0.3">
      <c r="A71" s="24"/>
    </row>
    <row r="72" spans="1:6" x14ac:dyDescent="0.3">
      <c r="A72" s="24"/>
    </row>
    <row r="73" spans="1:6" x14ac:dyDescent="0.3">
      <c r="A73" s="24"/>
    </row>
    <row r="74" spans="1:6" x14ac:dyDescent="0.3">
      <c r="A74" s="24"/>
    </row>
    <row r="75" spans="1:6" x14ac:dyDescent="0.3">
      <c r="A75" s="24"/>
      <c r="F75" s="359"/>
    </row>
    <row r="76" spans="1:6" x14ac:dyDescent="0.3">
      <c r="A76" s="24"/>
      <c r="F76" s="359"/>
    </row>
    <row r="77" spans="1:6" x14ac:dyDescent="0.3">
      <c r="A77" s="24"/>
      <c r="F77" s="359"/>
    </row>
    <row r="78" spans="1:6" x14ac:dyDescent="0.3">
      <c r="A78" s="24"/>
      <c r="F78" s="359"/>
    </row>
    <row r="79" spans="1:6" x14ac:dyDescent="0.3">
      <c r="A79" s="24"/>
      <c r="F79" s="359"/>
    </row>
    <row r="80" spans="1:6" x14ac:dyDescent="0.3">
      <c r="A80" s="24"/>
      <c r="F80" s="359"/>
    </row>
    <row r="81" spans="1:8" x14ac:dyDescent="0.3">
      <c r="A81" s="24"/>
      <c r="F81" s="359"/>
    </row>
    <row r="82" spans="1:8" x14ac:dyDescent="0.3">
      <c r="A82" s="24"/>
      <c r="F82" s="359"/>
    </row>
    <row r="83" spans="1:8" x14ac:dyDescent="0.3">
      <c r="A83" s="24"/>
      <c r="F83" s="359"/>
    </row>
    <row r="84" spans="1:8" x14ac:dyDescent="0.3">
      <c r="A84" s="24"/>
      <c r="F84" s="359"/>
    </row>
    <row r="85" spans="1:8" x14ac:dyDescent="0.3">
      <c r="A85" s="24"/>
      <c r="F85" s="359"/>
    </row>
    <row r="86" spans="1:8" x14ac:dyDescent="0.3">
      <c r="A86" s="24"/>
      <c r="F86" s="359"/>
    </row>
    <row r="87" spans="1:8" x14ac:dyDescent="0.3">
      <c r="A87" s="24"/>
      <c r="F87" s="359"/>
    </row>
    <row r="88" spans="1:8" x14ac:dyDescent="0.3">
      <c r="A88" s="24"/>
      <c r="F88" s="359"/>
    </row>
    <row r="89" spans="1:8" x14ac:dyDescent="0.3">
      <c r="A89" s="24"/>
      <c r="F89" s="359"/>
    </row>
    <row r="90" spans="1:8" x14ac:dyDescent="0.3">
      <c r="A90" s="24"/>
      <c r="F90" s="359"/>
    </row>
    <row r="91" spans="1:8" x14ac:dyDescent="0.3">
      <c r="A91" s="24"/>
      <c r="F91" s="359"/>
    </row>
    <row r="92" spans="1:8" x14ac:dyDescent="0.3">
      <c r="A92" s="24"/>
      <c r="F92" s="359"/>
    </row>
    <row r="93" spans="1:8" x14ac:dyDescent="0.3">
      <c r="A93" s="24"/>
      <c r="F93" s="359"/>
    </row>
    <row r="94" spans="1:8" x14ac:dyDescent="0.3">
      <c r="A94" s="24"/>
      <c r="F94" s="359"/>
    </row>
    <row r="95" spans="1:8" s="26" customFormat="1" x14ac:dyDescent="0.3">
      <c r="A95" s="24"/>
      <c r="F95" s="359"/>
      <c r="H95" s="79"/>
    </row>
  </sheetData>
  <dataValidations count="1">
    <dataValidation type="list" allowBlank="1" showInputMessage="1" showErrorMessage="1" sqref="F4:F1048576 F1:F2 H4:H12" xr:uid="{00000000-0002-0000-0800-000000000000}">
      <formula1>"1a, 1b, 1c, 1d, 1e, 1f, 1g, 1h, 2a, 2b, 2c, 2d, 2e, 2f, 2g, 3, 4, 5, 6a-R, 6b-R, 6a-P, 6b-P, 7a-S, 7b-S, 7a-O, 7b-O, 8a, 8b, 9a, 9b, 10a, 10b, 11a, 11b, 11c, 11d, 11e, Adj-UG, Adj-DS, Adj-PY, Adj-Other, Adj-IE, Refer to Below Working"</formula1>
    </dataValidation>
  </dataValidations>
  <hyperlinks>
    <hyperlink ref="H4" location="SOR!A17" display="Refer to Below Working" xr:uid="{00000000-0004-0000-0800-000000000000}"/>
    <hyperlink ref="H5" location="SOR!A23" display="Refer to Below Working" xr:uid="{00000000-0004-0000-0800-000001000000}"/>
    <hyperlink ref="H6" location="SOR!A31" display="Refer to Below Working" xr:uid="{00000000-0004-0000-0800-000002000000}"/>
    <hyperlink ref="H8" location="SOR!A37" display="Refer to Below Working" xr:uid="{00000000-0004-0000-0800-000003000000}"/>
    <hyperlink ref="H10" location="SOR!A46" display="Refer to Below Working" xr:uid="{00000000-0004-0000-0800-000004000000}"/>
    <hyperlink ref="H50" location="SOR!A53" display="Refer to Below Working" xr:uid="{00000000-0004-0000-0800-000005000000}"/>
    <hyperlink ref="F4" location="SOR!A17" display="Refer to Below Working" xr:uid="{00000000-0004-0000-0800-000006000000}"/>
    <hyperlink ref="F5" location="SOR!A23" display="Refer to Below Working" xr:uid="{00000000-0004-0000-0800-000007000000}"/>
    <hyperlink ref="F8" location="SOR!A37" display="Refer to Below Working" xr:uid="{00000000-0004-0000-0800-000008000000}"/>
    <hyperlink ref="F10" location="SOR!A46" display="Refer to Below Working" xr:uid="{00000000-0004-0000-0800-000009000000}"/>
    <hyperlink ref="F11" location="SOR!A58" display="Refer to Below Working" xr:uid="{00000000-0004-0000-0800-00000A000000}"/>
  </hyperlinks>
  <pageMargins left="0.7" right="0.7" top="0.75" bottom="0.75" header="0.3" footer="0.3"/>
  <pageSetup orientation="portrait" r:id="rId1"/>
  <headerFooter>
    <oddHeader>&amp;L&amp;"Arial,Bold"&amp;8 4:52 PM
&amp;"Arial,Bold"&amp;8 05/08/23
&amp;"Arial,Bold"&amp;8 Accrual Basis&amp;C&amp;"Arial,Bold"&amp;12 El Centro de Libertad/The Freedom Center, Inc.
&amp;"Arial,Bold"&amp;14 Profit &amp;&amp; Loss
&amp;"Arial,Bold"&amp;10 July 2021 through June 2022</oddHeader>
    <oddFooter>&amp;R&amp;"Arial,Bold"&amp;8 Page &amp;P of &amp;N</oddFooter>
  </headerFooter>
  <customProperties>
    <customPr name="OrphanNamesChecked" r:id="rId2"/>
  </customProperties>
  <ignoredErrors>
    <ignoredError sqref="B43" formula="1"/>
  </ignoredErrors>
  <drawing r:id="rId3"/>
  <legacyDrawing r:id="rId4"/>
  <controls>
    <mc:AlternateContent xmlns:mc="http://schemas.openxmlformats.org/markup-compatibility/2006">
      <mc:Choice Requires="x14">
        <control shapeId="26626" r:id="rId5" name="HEADER">
          <controlPr defaultSize="0" autoLine="0" r:id="rId6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26626" r:id="rId5" name="HEADER"/>
      </mc:Fallback>
    </mc:AlternateContent>
    <mc:AlternateContent xmlns:mc="http://schemas.openxmlformats.org/markup-compatibility/2006">
      <mc:Choice Requires="x14">
        <control shapeId="26625" r:id="rId7" name="FILTER">
          <controlPr defaultSize="0" autoLine="0" r:id="rId8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26625" r:id="rId7" name="FILTER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L109"/>
  <sheetViews>
    <sheetView workbookViewId="0">
      <selection activeCell="E21" sqref="E21"/>
    </sheetView>
  </sheetViews>
  <sheetFormatPr defaultRowHeight="14.4" x14ac:dyDescent="0.3"/>
  <cols>
    <col min="1" max="1" width="41.109375" customWidth="1"/>
    <col min="2" max="2" width="15" style="3" bestFit="1" customWidth="1"/>
    <col min="3" max="3" width="13.88671875" style="3" customWidth="1"/>
    <col min="4" max="5" width="15.109375" style="3" bestFit="1" customWidth="1"/>
    <col min="6" max="6" width="19.33203125" style="1" customWidth="1"/>
    <col min="7" max="7" width="15" customWidth="1"/>
    <col min="8" max="8" width="15" bestFit="1" customWidth="1"/>
    <col min="9" max="9" width="13.88671875" bestFit="1" customWidth="1"/>
    <col min="10" max="10" width="22.44140625" style="8" bestFit="1" customWidth="1"/>
    <col min="11" max="11" width="22.44140625" bestFit="1" customWidth="1"/>
    <col min="12" max="12" width="13.88671875" bestFit="1" customWidth="1"/>
  </cols>
  <sheetData>
    <row r="1" spans="1:12" ht="15" thickBot="1" x14ac:dyDescent="0.35">
      <c r="J1"/>
    </row>
    <row r="2" spans="1:12" ht="15" thickBot="1" x14ac:dyDescent="0.35">
      <c r="A2" s="19"/>
      <c r="B2" s="444" t="s">
        <v>265</v>
      </c>
      <c r="C2" s="444"/>
      <c r="D2" s="444"/>
      <c r="E2" s="444"/>
      <c r="F2" s="445" t="s">
        <v>266</v>
      </c>
      <c r="G2" s="445"/>
      <c r="H2" s="19"/>
      <c r="I2" s="19"/>
      <c r="J2" s="19"/>
      <c r="K2" s="19"/>
    </row>
    <row r="3" spans="1:12" ht="29.4" thickBot="1" x14ac:dyDescent="0.35">
      <c r="A3" s="20" t="s">
        <v>59</v>
      </c>
      <c r="B3" s="308" t="s">
        <v>679</v>
      </c>
      <c r="C3" s="308" t="s">
        <v>680</v>
      </c>
      <c r="D3" s="308" t="s">
        <v>681</v>
      </c>
      <c r="E3" s="309" t="s">
        <v>265</v>
      </c>
      <c r="F3" s="20" t="s">
        <v>143</v>
      </c>
      <c r="G3" s="20" t="s">
        <v>144</v>
      </c>
      <c r="H3" s="21" t="s">
        <v>692</v>
      </c>
      <c r="I3" s="21" t="s">
        <v>691</v>
      </c>
      <c r="J3" s="21" t="s">
        <v>288</v>
      </c>
      <c r="K3" s="21" t="s">
        <v>287</v>
      </c>
    </row>
    <row r="4" spans="1:12" x14ac:dyDescent="0.3">
      <c r="A4" s="33" t="s">
        <v>341</v>
      </c>
      <c r="B4" s="34">
        <v>149929</v>
      </c>
      <c r="C4" s="34">
        <v>1619149</v>
      </c>
      <c r="D4" s="34">
        <v>1058173</v>
      </c>
      <c r="E4" s="54">
        <f t="shared" ref="E4:E20" si="0">+SUM(B4:D4)</f>
        <v>2827251</v>
      </c>
      <c r="F4" s="36">
        <v>352109</v>
      </c>
      <c r="G4" s="36">
        <v>201392</v>
      </c>
      <c r="H4" s="54">
        <f t="shared" ref="H4:H20" si="1">+SUM(E4:G4)</f>
        <v>3380752</v>
      </c>
      <c r="I4" s="36">
        <v>2539369</v>
      </c>
      <c r="J4" s="243" t="s">
        <v>294</v>
      </c>
      <c r="K4" s="243" t="s">
        <v>294</v>
      </c>
    </row>
    <row r="5" spans="1:12" x14ac:dyDescent="0.3">
      <c r="A5" s="33" t="s">
        <v>342</v>
      </c>
      <c r="B5" s="34">
        <v>26031</v>
      </c>
      <c r="C5" s="34">
        <v>255664</v>
      </c>
      <c r="D5" s="34">
        <v>171991</v>
      </c>
      <c r="E5" s="54">
        <f t="shared" si="0"/>
        <v>453686</v>
      </c>
      <c r="F5" s="36">
        <v>80548</v>
      </c>
      <c r="G5" s="36">
        <v>13863</v>
      </c>
      <c r="H5" s="54">
        <f t="shared" si="1"/>
        <v>548097</v>
      </c>
      <c r="I5" s="36">
        <v>278359</v>
      </c>
      <c r="J5" s="235" t="s">
        <v>294</v>
      </c>
      <c r="K5" s="235" t="s">
        <v>294</v>
      </c>
    </row>
    <row r="6" spans="1:12" x14ac:dyDescent="0.3">
      <c r="A6" s="33" t="s">
        <v>154</v>
      </c>
      <c r="B6" s="34">
        <v>13408</v>
      </c>
      <c r="C6" s="34">
        <v>147459</v>
      </c>
      <c r="D6" s="34">
        <v>91476</v>
      </c>
      <c r="E6" s="54">
        <f t="shared" si="0"/>
        <v>252343</v>
      </c>
      <c r="F6" s="36">
        <v>12636</v>
      </c>
      <c r="G6" s="36">
        <v>7262</v>
      </c>
      <c r="H6" s="54">
        <f t="shared" si="1"/>
        <v>272241</v>
      </c>
      <c r="I6" s="36">
        <v>197666</v>
      </c>
      <c r="J6" s="235" t="s">
        <v>294</v>
      </c>
      <c r="K6" s="235" t="s">
        <v>294</v>
      </c>
    </row>
    <row r="7" spans="1:12" x14ac:dyDescent="0.3">
      <c r="A7" s="33" t="s">
        <v>343</v>
      </c>
      <c r="B7" s="34" t="s">
        <v>544</v>
      </c>
      <c r="C7" s="34">
        <v>0</v>
      </c>
      <c r="D7" s="34">
        <v>1650</v>
      </c>
      <c r="E7" s="54">
        <f t="shared" si="0"/>
        <v>1650</v>
      </c>
      <c r="F7" s="36">
        <v>1074</v>
      </c>
      <c r="G7" s="36">
        <v>185</v>
      </c>
      <c r="H7" s="54">
        <f t="shared" si="1"/>
        <v>2909</v>
      </c>
      <c r="I7" s="36">
        <v>5810</v>
      </c>
      <c r="J7" s="40">
        <v>12</v>
      </c>
      <c r="K7" s="40">
        <v>12</v>
      </c>
    </row>
    <row r="8" spans="1:12" x14ac:dyDescent="0.3">
      <c r="A8" s="33" t="s">
        <v>344</v>
      </c>
      <c r="B8" s="34">
        <v>2804</v>
      </c>
      <c r="C8" s="34">
        <v>24277</v>
      </c>
      <c r="D8" s="34">
        <v>78891</v>
      </c>
      <c r="E8" s="54">
        <f t="shared" si="0"/>
        <v>105972</v>
      </c>
      <c r="F8" s="36">
        <v>358497</v>
      </c>
      <c r="G8" s="36">
        <v>32682</v>
      </c>
      <c r="H8" s="54">
        <f t="shared" si="1"/>
        <v>497151</v>
      </c>
      <c r="I8" s="36">
        <v>375453</v>
      </c>
      <c r="J8" s="235" t="s">
        <v>294</v>
      </c>
      <c r="K8" s="235" t="s">
        <v>294</v>
      </c>
    </row>
    <row r="9" spans="1:12" x14ac:dyDescent="0.3">
      <c r="A9" s="33" t="s">
        <v>313</v>
      </c>
      <c r="B9" s="34" t="s">
        <v>544</v>
      </c>
      <c r="C9" s="34">
        <v>0</v>
      </c>
      <c r="D9" s="34">
        <v>0</v>
      </c>
      <c r="E9" s="54">
        <f t="shared" si="0"/>
        <v>0</v>
      </c>
      <c r="F9" s="36">
        <v>3285</v>
      </c>
      <c r="G9" s="36">
        <v>0</v>
      </c>
      <c r="H9" s="54">
        <f t="shared" si="1"/>
        <v>3285</v>
      </c>
      <c r="I9" s="36">
        <v>4529</v>
      </c>
      <c r="J9" s="39">
        <v>22</v>
      </c>
      <c r="K9" s="40">
        <v>22</v>
      </c>
    </row>
    <row r="10" spans="1:12" x14ac:dyDescent="0.3">
      <c r="A10" s="33" t="s">
        <v>170</v>
      </c>
      <c r="B10" s="34">
        <v>444</v>
      </c>
      <c r="C10" s="34">
        <v>5501</v>
      </c>
      <c r="D10" s="34">
        <v>9069</v>
      </c>
      <c r="E10" s="54">
        <f t="shared" si="0"/>
        <v>15014</v>
      </c>
      <c r="F10" s="36">
        <v>1391</v>
      </c>
      <c r="G10" s="36">
        <v>445</v>
      </c>
      <c r="H10" s="54">
        <f t="shared" si="1"/>
        <v>16850</v>
      </c>
      <c r="I10" s="36">
        <v>2345</v>
      </c>
      <c r="J10" s="39">
        <v>20</v>
      </c>
      <c r="K10" s="39">
        <v>20</v>
      </c>
    </row>
    <row r="11" spans="1:12" x14ac:dyDescent="0.3">
      <c r="A11" s="33" t="s">
        <v>345</v>
      </c>
      <c r="B11" s="34">
        <v>4743</v>
      </c>
      <c r="C11" s="34">
        <v>58771</v>
      </c>
      <c r="D11" s="34">
        <v>96899</v>
      </c>
      <c r="E11" s="54">
        <f t="shared" si="0"/>
        <v>160413</v>
      </c>
      <c r="F11" s="36">
        <v>14862</v>
      </c>
      <c r="G11" s="36">
        <v>4753</v>
      </c>
      <c r="H11" s="54">
        <f t="shared" si="1"/>
        <v>180028</v>
      </c>
      <c r="I11" s="36">
        <v>25155</v>
      </c>
      <c r="J11" s="39">
        <v>22</v>
      </c>
      <c r="K11" s="39">
        <v>22</v>
      </c>
    </row>
    <row r="12" spans="1:12" x14ac:dyDescent="0.3">
      <c r="A12" s="33" t="s">
        <v>312</v>
      </c>
      <c r="B12" s="34">
        <v>11400</v>
      </c>
      <c r="C12" s="34">
        <v>49751</v>
      </c>
      <c r="D12" s="34">
        <v>74642</v>
      </c>
      <c r="E12" s="54">
        <f t="shared" si="0"/>
        <v>135793</v>
      </c>
      <c r="F12" s="36">
        <v>107098</v>
      </c>
      <c r="G12" s="36">
        <v>23336</v>
      </c>
      <c r="H12" s="54">
        <f t="shared" si="1"/>
        <v>266227</v>
      </c>
      <c r="I12" s="36">
        <v>139576</v>
      </c>
      <c r="J12" s="235" t="s">
        <v>294</v>
      </c>
      <c r="K12" s="235" t="s">
        <v>294</v>
      </c>
    </row>
    <row r="13" spans="1:12" x14ac:dyDescent="0.3">
      <c r="A13" s="33" t="s">
        <v>346</v>
      </c>
      <c r="B13" s="34">
        <v>3082</v>
      </c>
      <c r="C13" s="34">
        <v>23523</v>
      </c>
      <c r="D13" s="34">
        <v>19879</v>
      </c>
      <c r="E13" s="54">
        <f t="shared" si="0"/>
        <v>46484</v>
      </c>
      <c r="F13" s="36">
        <v>56404</v>
      </c>
      <c r="G13" s="36">
        <v>2108</v>
      </c>
      <c r="H13" s="54">
        <f t="shared" si="1"/>
        <v>104996</v>
      </c>
      <c r="I13" s="36">
        <v>37237</v>
      </c>
      <c r="J13" s="39">
        <v>14</v>
      </c>
      <c r="K13" s="39">
        <v>14</v>
      </c>
      <c r="L13" s="4"/>
    </row>
    <row r="14" spans="1:12" x14ac:dyDescent="0.3">
      <c r="A14" s="33" t="s">
        <v>166</v>
      </c>
      <c r="B14" s="34">
        <v>42310</v>
      </c>
      <c r="C14" s="34">
        <v>21517</v>
      </c>
      <c r="D14" s="34">
        <v>20839</v>
      </c>
      <c r="E14" s="54">
        <f t="shared" si="0"/>
        <v>84666</v>
      </c>
      <c r="F14" s="36">
        <v>-2758</v>
      </c>
      <c r="G14" s="36">
        <v>2298</v>
      </c>
      <c r="H14" s="54">
        <f>+SUM(E14:G14)</f>
        <v>84206</v>
      </c>
      <c r="I14" s="36">
        <v>108136</v>
      </c>
      <c r="J14" s="39">
        <v>16</v>
      </c>
      <c r="K14" s="39">
        <v>16</v>
      </c>
    </row>
    <row r="15" spans="1:12" x14ac:dyDescent="0.3">
      <c r="A15" s="33" t="s">
        <v>548</v>
      </c>
      <c r="B15" s="34">
        <v>0</v>
      </c>
      <c r="C15" s="34">
        <v>0</v>
      </c>
      <c r="D15" s="34">
        <v>0</v>
      </c>
      <c r="E15" s="54">
        <f>+SUM(B15:D15)</f>
        <v>0</v>
      </c>
      <c r="F15" s="36">
        <v>0</v>
      </c>
      <c r="G15" s="36">
        <v>21248</v>
      </c>
      <c r="H15" s="54">
        <f>+SUM(E15:G15)</f>
        <v>21248</v>
      </c>
      <c r="I15" s="36"/>
      <c r="J15" s="40" t="s">
        <v>232</v>
      </c>
      <c r="K15" s="39"/>
    </row>
    <row r="16" spans="1:12" x14ac:dyDescent="0.3">
      <c r="A16" s="33" t="s">
        <v>347</v>
      </c>
      <c r="B16" s="34" t="s">
        <v>544</v>
      </c>
      <c r="C16" s="34">
        <v>0</v>
      </c>
      <c r="D16" s="34">
        <v>0</v>
      </c>
      <c r="E16" s="54">
        <f>+SUM(B16:D16)</f>
        <v>0</v>
      </c>
      <c r="F16" s="36">
        <v>0</v>
      </c>
      <c r="G16" s="36">
        <v>7906</v>
      </c>
      <c r="H16" s="54">
        <f t="shared" si="1"/>
        <v>7906</v>
      </c>
      <c r="I16" s="36">
        <v>23777</v>
      </c>
      <c r="J16" s="40" t="s">
        <v>236</v>
      </c>
      <c r="K16" s="39" t="s">
        <v>236</v>
      </c>
    </row>
    <row r="17" spans="1:11" x14ac:dyDescent="0.3">
      <c r="A17" s="33" t="s">
        <v>348</v>
      </c>
      <c r="B17" s="34">
        <v>223</v>
      </c>
      <c r="C17" s="34">
        <v>9967</v>
      </c>
      <c r="D17" s="34">
        <v>13895</v>
      </c>
      <c r="E17" s="54">
        <f t="shared" si="0"/>
        <v>24085</v>
      </c>
      <c r="F17" s="36">
        <v>12771</v>
      </c>
      <c r="G17" s="36">
        <v>9809</v>
      </c>
      <c r="H17" s="54">
        <f t="shared" si="1"/>
        <v>46665</v>
      </c>
      <c r="I17" s="36">
        <v>20116</v>
      </c>
      <c r="J17" s="235" t="s">
        <v>294</v>
      </c>
      <c r="K17" s="235" t="s">
        <v>294</v>
      </c>
    </row>
    <row r="18" spans="1:11" x14ac:dyDescent="0.3">
      <c r="A18" s="33" t="s">
        <v>316</v>
      </c>
      <c r="B18" s="34">
        <v>64133</v>
      </c>
      <c r="C18" s="34">
        <v>1736466</v>
      </c>
      <c r="D18" s="34">
        <v>4881484</v>
      </c>
      <c r="E18" s="54">
        <f t="shared" si="0"/>
        <v>6682083</v>
      </c>
      <c r="F18" s="36">
        <v>1586</v>
      </c>
      <c r="G18" s="36">
        <v>0</v>
      </c>
      <c r="H18" s="54">
        <f t="shared" si="1"/>
        <v>6683669</v>
      </c>
      <c r="I18" s="36">
        <v>2412563</v>
      </c>
      <c r="J18" s="235" t="s">
        <v>294</v>
      </c>
      <c r="K18" s="235" t="s">
        <v>294</v>
      </c>
    </row>
    <row r="19" spans="1:11" x14ac:dyDescent="0.3">
      <c r="A19" s="33" t="s">
        <v>173</v>
      </c>
      <c r="B19" s="34">
        <v>769</v>
      </c>
      <c r="C19" s="34">
        <v>3848</v>
      </c>
      <c r="D19" s="34">
        <v>3375</v>
      </c>
      <c r="E19" s="54">
        <f t="shared" si="0"/>
        <v>7992</v>
      </c>
      <c r="F19" s="36">
        <v>882</v>
      </c>
      <c r="G19" s="36">
        <v>576</v>
      </c>
      <c r="H19" s="54">
        <f t="shared" si="1"/>
        <v>9450</v>
      </c>
      <c r="I19" s="36">
        <v>8374</v>
      </c>
      <c r="J19" s="39">
        <v>23</v>
      </c>
      <c r="K19" s="39">
        <v>23</v>
      </c>
    </row>
    <row r="20" spans="1:11" x14ac:dyDescent="0.3">
      <c r="A20" s="33"/>
      <c r="B20" s="34"/>
      <c r="C20" s="34"/>
      <c r="D20" s="34"/>
      <c r="E20" s="54">
        <f t="shared" si="0"/>
        <v>0</v>
      </c>
      <c r="F20" s="36"/>
      <c r="G20" s="36"/>
      <c r="H20" s="54">
        <f t="shared" si="1"/>
        <v>0</v>
      </c>
      <c r="I20" s="35"/>
      <c r="J20" s="39"/>
      <c r="K20" s="39"/>
    </row>
    <row r="21" spans="1:11" ht="15" thickBot="1" x14ac:dyDescent="0.35">
      <c r="A21" s="28" t="s">
        <v>267</v>
      </c>
      <c r="B21" s="29">
        <f>+SUM(B4:B20)</f>
        <v>319276</v>
      </c>
      <c r="C21" s="29">
        <f>+SUM(C4:C20)</f>
        <v>3955893</v>
      </c>
      <c r="D21" s="29">
        <f t="shared" ref="D21:I21" si="2">SUM(D4:D20)</f>
        <v>6522263</v>
      </c>
      <c r="E21" s="29">
        <f t="shared" si="2"/>
        <v>10797432</v>
      </c>
      <c r="F21" s="29">
        <f t="shared" si="2"/>
        <v>1000385</v>
      </c>
      <c r="G21" s="29">
        <f t="shared" si="2"/>
        <v>327863</v>
      </c>
      <c r="H21" s="29">
        <f t="shared" si="2"/>
        <v>12125680</v>
      </c>
      <c r="I21" s="29">
        <f t="shared" si="2"/>
        <v>6178465</v>
      </c>
      <c r="J21" s="29"/>
      <c r="K21" s="30"/>
    </row>
    <row r="22" spans="1:11" ht="15.6" x14ac:dyDescent="0.3">
      <c r="A22" s="129" t="s">
        <v>263</v>
      </c>
      <c r="H22" s="4"/>
      <c r="I22" s="4"/>
      <c r="J22" s="138"/>
    </row>
    <row r="23" spans="1:11" x14ac:dyDescent="0.3">
      <c r="A23" s="126" t="s">
        <v>264</v>
      </c>
      <c r="G23" s="4">
        <f>+G21-G16-G15</f>
        <v>298709</v>
      </c>
      <c r="H23" s="4">
        <f>+H21-H16-H15</f>
        <v>12096526</v>
      </c>
      <c r="J23" s="138"/>
    </row>
    <row r="24" spans="1:11" ht="15" thickBot="1" x14ac:dyDescent="0.35">
      <c r="J24" s="138"/>
    </row>
    <row r="25" spans="1:11" x14ac:dyDescent="0.3">
      <c r="A25" s="179" t="s">
        <v>268</v>
      </c>
      <c r="B25" s="241"/>
      <c r="C25" s="241"/>
      <c r="D25" s="241"/>
      <c r="E25" s="241"/>
      <c r="F25" s="181"/>
      <c r="G25" s="180"/>
      <c r="H25" s="180"/>
      <c r="I25" s="180"/>
      <c r="J25" s="182"/>
      <c r="K25" s="183"/>
    </row>
    <row r="26" spans="1:11" x14ac:dyDescent="0.3">
      <c r="A26" s="156" t="s">
        <v>269</v>
      </c>
      <c r="E26" s="3">
        <f>+Compensation!G9</f>
        <v>186012.9288936478</v>
      </c>
      <c r="F26" s="4">
        <f>+Compensation!H9</f>
        <v>24663.457537158207</v>
      </c>
      <c r="G26" s="4">
        <f>+Compensation!I9</f>
        <v>12077.403569193984</v>
      </c>
      <c r="H26" s="4">
        <f>+SUM(E26:G26)</f>
        <v>222753.79</v>
      </c>
      <c r="I26" s="3">
        <v>330716</v>
      </c>
      <c r="J26" s="138">
        <v>5</v>
      </c>
      <c r="K26" s="193">
        <v>5</v>
      </c>
    </row>
    <row r="27" spans="1:11" x14ac:dyDescent="0.3">
      <c r="A27" s="156" t="s">
        <v>270</v>
      </c>
      <c r="E27" s="5">
        <f>+Compensation!L5</f>
        <v>2669445.2030353011</v>
      </c>
      <c r="F27" s="5">
        <f>+Compensation!M5</f>
        <v>332455.68964183115</v>
      </c>
      <c r="G27" s="5">
        <f>+Compensation!N5+0.16</f>
        <v>190151.26732286782</v>
      </c>
      <c r="H27" s="4">
        <f>+SUM(E27:G27)</f>
        <v>3192052.1599999997</v>
      </c>
      <c r="I27" s="3">
        <v>2245736</v>
      </c>
      <c r="J27" s="138">
        <v>7</v>
      </c>
      <c r="K27" s="193">
        <v>7</v>
      </c>
    </row>
    <row r="28" spans="1:11" x14ac:dyDescent="0.3">
      <c r="A28" s="156" t="s">
        <v>271</v>
      </c>
      <c r="E28" s="5">
        <f>+Compensation!L6</f>
        <v>69453.697423931575</v>
      </c>
      <c r="F28" s="5">
        <f>+Compensation!M6</f>
        <v>12373.590506510211</v>
      </c>
      <c r="G28" s="5">
        <f>+Compensation!N6</f>
        <v>1632.9620695582159</v>
      </c>
      <c r="H28" s="4">
        <f>+SUM(E28:G28)</f>
        <v>83460.25</v>
      </c>
      <c r="I28" s="3">
        <v>15873</v>
      </c>
      <c r="J28" s="138">
        <v>8</v>
      </c>
      <c r="K28" s="193">
        <v>8</v>
      </c>
    </row>
    <row r="29" spans="1:11" x14ac:dyDescent="0.3">
      <c r="A29" s="156" t="s">
        <v>272</v>
      </c>
      <c r="E29" s="5">
        <f>+Compensation!L7</f>
        <v>356024.9406471196</v>
      </c>
      <c r="F29" s="5">
        <f>+Compensation!M7</f>
        <v>63164.2423145004</v>
      </c>
      <c r="G29" s="5">
        <f>+Compensation!N7+0.22</f>
        <v>11393.617038379987</v>
      </c>
      <c r="H29" s="4">
        <f>+SUM(E29:G29)</f>
        <v>430582.8</v>
      </c>
      <c r="I29" s="3">
        <v>225403</v>
      </c>
      <c r="J29" s="138">
        <v>9</v>
      </c>
      <c r="K29" s="193">
        <v>9</v>
      </c>
    </row>
    <row r="30" spans="1:11" x14ac:dyDescent="0.3">
      <c r="A30" s="188" t="s">
        <v>273</v>
      </c>
      <c r="E30" s="187">
        <f>+Compensation!L8</f>
        <v>252343</v>
      </c>
      <c r="F30" s="187">
        <f>+Compensation!M8</f>
        <v>12636</v>
      </c>
      <c r="G30" s="187">
        <f>+Compensation!N8</f>
        <v>7262</v>
      </c>
      <c r="H30" s="192">
        <f>+SUM(E30:G30)</f>
        <v>272241</v>
      </c>
      <c r="I30" s="187">
        <v>197666</v>
      </c>
      <c r="J30" s="138">
        <v>10</v>
      </c>
      <c r="K30" s="193">
        <v>10</v>
      </c>
    </row>
    <row r="31" spans="1:11" ht="15" thickBot="1" x14ac:dyDescent="0.35">
      <c r="A31" s="189" t="s">
        <v>141</v>
      </c>
      <c r="B31" s="237"/>
      <c r="C31" s="237"/>
      <c r="D31" s="237"/>
      <c r="E31" s="239">
        <f>SUM(E26:E30)</f>
        <v>3533279.77</v>
      </c>
      <c r="F31" s="191">
        <f>SUM(F26:F30)</f>
        <v>445292.98</v>
      </c>
      <c r="G31" s="191">
        <f>SUM(G26:G30)</f>
        <v>222517.25</v>
      </c>
      <c r="H31" s="190">
        <f>SUM(H26:H30)</f>
        <v>4201090</v>
      </c>
      <c r="I31" s="190">
        <f>SUM(I26:I30)</f>
        <v>3015394</v>
      </c>
      <c r="J31" s="185"/>
      <c r="K31" s="186"/>
    </row>
    <row r="32" spans="1:11" x14ac:dyDescent="0.3">
      <c r="F32"/>
      <c r="J32" s="138"/>
    </row>
    <row r="33" spans="1:11" ht="15" thickBot="1" x14ac:dyDescent="0.35">
      <c r="F33"/>
      <c r="J33" s="138"/>
    </row>
    <row r="34" spans="1:11" x14ac:dyDescent="0.3">
      <c r="A34" s="179" t="s">
        <v>344</v>
      </c>
      <c r="B34" s="241"/>
      <c r="C34" s="241"/>
      <c r="D34" s="241"/>
      <c r="E34" s="241"/>
      <c r="F34" s="180"/>
      <c r="G34" s="180"/>
      <c r="H34" s="180"/>
      <c r="I34" s="180"/>
      <c r="J34" s="182"/>
      <c r="K34" s="183"/>
    </row>
    <row r="35" spans="1:11" x14ac:dyDescent="0.3">
      <c r="A35" s="156" t="s">
        <v>156</v>
      </c>
      <c r="B35" s="5"/>
      <c r="C35" s="5"/>
      <c r="D35" s="5"/>
      <c r="E35" s="5">
        <v>0</v>
      </c>
      <c r="F35" s="5">
        <f>'Function Exp'!M32</f>
        <v>257245</v>
      </c>
      <c r="G35" s="5">
        <f>'Function Exp'!U32</f>
        <v>0</v>
      </c>
      <c r="H35" s="4">
        <f t="shared" ref="H35:H38" si="3">+SUM(E35:G35)</f>
        <v>257245</v>
      </c>
      <c r="I35" s="5">
        <v>150800</v>
      </c>
      <c r="J35" s="310" t="s">
        <v>135</v>
      </c>
      <c r="K35" s="231" t="s">
        <v>135</v>
      </c>
    </row>
    <row r="36" spans="1:11" x14ac:dyDescent="0.3">
      <c r="A36" s="156" t="s">
        <v>155</v>
      </c>
      <c r="B36" s="5"/>
      <c r="C36" s="5"/>
      <c r="D36" s="5"/>
      <c r="E36" s="5">
        <f>'Function Exp'!CU31+0.5</f>
        <v>60483</v>
      </c>
      <c r="F36" s="5">
        <f>'Function Exp'!M31</f>
        <v>3780</v>
      </c>
      <c r="G36" s="5">
        <v>0</v>
      </c>
      <c r="H36" s="4">
        <f t="shared" si="3"/>
        <v>64263</v>
      </c>
      <c r="I36" s="5">
        <v>29969.5</v>
      </c>
      <c r="J36" s="310" t="s">
        <v>134</v>
      </c>
      <c r="K36" s="231" t="s">
        <v>134</v>
      </c>
    </row>
    <row r="37" spans="1:11" x14ac:dyDescent="0.3">
      <c r="A37" s="156" t="s">
        <v>349</v>
      </c>
      <c r="B37" s="5"/>
      <c r="C37" s="5"/>
      <c r="D37" s="5"/>
      <c r="E37" s="5">
        <v>0</v>
      </c>
      <c r="F37" s="5">
        <f>'Function Exp'!M29</f>
        <v>9620</v>
      </c>
      <c r="G37" s="5">
        <v>0</v>
      </c>
      <c r="H37" s="4">
        <f t="shared" si="3"/>
        <v>9620</v>
      </c>
      <c r="I37" s="5">
        <v>320</v>
      </c>
      <c r="J37" s="310" t="s">
        <v>161</v>
      </c>
      <c r="K37" s="231" t="s">
        <v>161</v>
      </c>
    </row>
    <row r="38" spans="1:11" x14ac:dyDescent="0.3">
      <c r="A38" s="156" t="s">
        <v>350</v>
      </c>
      <c r="B38" s="5"/>
      <c r="C38" s="5"/>
      <c r="D38" s="5"/>
      <c r="E38" s="5">
        <f>'Function Exp'!CU56</f>
        <v>1234</v>
      </c>
      <c r="F38" s="5">
        <f>'Function Exp'!M56</f>
        <v>3524</v>
      </c>
      <c r="G38" s="5">
        <f>'Function Exp'!U56</f>
        <v>100</v>
      </c>
      <c r="H38" s="4">
        <f t="shared" si="3"/>
        <v>4858</v>
      </c>
      <c r="I38" s="5">
        <v>34855</v>
      </c>
      <c r="J38" s="310" t="s">
        <v>161</v>
      </c>
      <c r="K38" s="231" t="s">
        <v>161</v>
      </c>
    </row>
    <row r="39" spans="1:11" x14ac:dyDescent="0.3">
      <c r="A39" s="156" t="s">
        <v>311</v>
      </c>
      <c r="B39" s="5"/>
      <c r="C39" s="5"/>
      <c r="D39" s="5"/>
      <c r="E39" s="5">
        <f>'Function Exp'!CU30+0.47</f>
        <v>31883</v>
      </c>
      <c r="F39" s="5">
        <f>'Function Exp'!M30-0.6</f>
        <v>96700</v>
      </c>
      <c r="G39" s="5">
        <f>'Function Exp'!U30+0.42</f>
        <v>32582</v>
      </c>
      <c r="H39" s="4">
        <f>+SUM(E39:G39)</f>
        <v>161165</v>
      </c>
      <c r="I39" s="5">
        <v>159507.57999999999</v>
      </c>
      <c r="J39" s="369" t="s">
        <v>294</v>
      </c>
      <c r="K39" s="231" t="s">
        <v>161</v>
      </c>
    </row>
    <row r="40" spans="1:11" x14ac:dyDescent="0.3">
      <c r="A40" s="156" t="s">
        <v>682</v>
      </c>
      <c r="B40" s="5"/>
      <c r="C40" s="5"/>
      <c r="D40" s="5"/>
      <c r="E40" s="5">
        <f>+'Function Exp'!CU33</f>
        <v>12372</v>
      </c>
      <c r="F40" s="5">
        <f>+'Function Exp'!M33</f>
        <v>-12372</v>
      </c>
      <c r="G40" s="5">
        <f>+'Function Exp'!U33</f>
        <v>0</v>
      </c>
      <c r="H40" s="4">
        <f>SUM(E40:G40)</f>
        <v>0</v>
      </c>
      <c r="I40" s="5"/>
      <c r="J40" s="310" t="s">
        <v>161</v>
      </c>
      <c r="K40" s="231"/>
    </row>
    <row r="41" spans="1:11" ht="15" thickBot="1" x14ac:dyDescent="0.35">
      <c r="A41" s="244" t="s">
        <v>141</v>
      </c>
      <c r="B41" s="237"/>
      <c r="C41" s="237"/>
      <c r="D41" s="237"/>
      <c r="E41" s="233">
        <f>SUM(E35:E40)</f>
        <v>105972</v>
      </c>
      <c r="F41" s="233">
        <f>SUM(F35:F40)</f>
        <v>358497</v>
      </c>
      <c r="G41" s="233">
        <f>SUM(G35:G40)</f>
        <v>32682</v>
      </c>
      <c r="H41" s="233">
        <f>SUM(H35:H40)</f>
        <v>497151</v>
      </c>
      <c r="I41" s="233">
        <f>SUM(I35:I39)</f>
        <v>375452.07999999996</v>
      </c>
      <c r="J41" s="185"/>
      <c r="K41" s="186"/>
    </row>
    <row r="42" spans="1:11" x14ac:dyDescent="0.3">
      <c r="F42"/>
      <c r="J42" s="138"/>
    </row>
    <row r="43" spans="1:11" ht="15" thickBot="1" x14ac:dyDescent="0.35">
      <c r="F43"/>
      <c r="J43" s="138"/>
    </row>
    <row r="44" spans="1:11" x14ac:dyDescent="0.3">
      <c r="A44" s="179" t="s">
        <v>311</v>
      </c>
      <c r="B44" s="241"/>
      <c r="C44" s="241"/>
      <c r="D44" s="241"/>
      <c r="E44" s="241"/>
      <c r="F44" s="180"/>
      <c r="G44" s="180"/>
      <c r="H44" s="180"/>
      <c r="I44" s="180"/>
      <c r="J44" s="182"/>
      <c r="K44" s="183"/>
    </row>
    <row r="45" spans="1:11" x14ac:dyDescent="0.3">
      <c r="A45" s="156" t="s">
        <v>683</v>
      </c>
      <c r="B45" s="5"/>
      <c r="C45" s="5"/>
      <c r="D45" s="5"/>
      <c r="E45" s="5">
        <f>+H45/H39*E39</f>
        <v>9990.3297862439122</v>
      </c>
      <c r="F45" s="5">
        <f>+H45/H39*F39</f>
        <v>30300.313343467878</v>
      </c>
      <c r="G45" s="5">
        <f>+H45/H39*G39</f>
        <v>10209.356870288215</v>
      </c>
      <c r="H45" s="5">
        <v>50500</v>
      </c>
      <c r="J45" s="310" t="s">
        <v>135</v>
      </c>
      <c r="K45" s="245"/>
    </row>
    <row r="46" spans="1:11" x14ac:dyDescent="0.3">
      <c r="A46" s="156" t="s">
        <v>684</v>
      </c>
      <c r="B46" s="5"/>
      <c r="C46" s="5"/>
      <c r="D46" s="5"/>
      <c r="E46" s="5">
        <f>+E39-E45</f>
        <v>21892.670213756086</v>
      </c>
      <c r="F46" s="5">
        <f>+F39-F45</f>
        <v>66399.686656532125</v>
      </c>
      <c r="G46" s="5">
        <f>+G39-G45</f>
        <v>22372.643129711785</v>
      </c>
      <c r="H46" s="5">
        <f>+H39-H45</f>
        <v>110665</v>
      </c>
      <c r="J46" s="310" t="s">
        <v>161</v>
      </c>
      <c r="K46" s="245"/>
    </row>
    <row r="47" spans="1:11" ht="15" thickBot="1" x14ac:dyDescent="0.35">
      <c r="A47" s="189" t="s">
        <v>141</v>
      </c>
      <c r="B47" s="237"/>
      <c r="C47" s="237"/>
      <c r="D47" s="237"/>
      <c r="E47" s="233">
        <f>SUM(E45:E46)</f>
        <v>31883</v>
      </c>
      <c r="F47" s="233">
        <f>SUM(F45:F46)</f>
        <v>96700</v>
      </c>
      <c r="G47" s="233">
        <f>SUM(G45:G46)</f>
        <v>32582</v>
      </c>
      <c r="H47" s="233">
        <f>SUM(H45:H46)</f>
        <v>161165</v>
      </c>
      <c r="I47" s="184"/>
      <c r="J47" s="185"/>
      <c r="K47" s="186"/>
    </row>
    <row r="48" spans="1:11" x14ac:dyDescent="0.3">
      <c r="F48"/>
      <c r="J48" s="138"/>
    </row>
    <row r="49" spans="1:11" ht="15" thickBot="1" x14ac:dyDescent="0.35">
      <c r="F49"/>
      <c r="J49" s="138"/>
    </row>
    <row r="50" spans="1:11" x14ac:dyDescent="0.3">
      <c r="A50" s="179" t="s">
        <v>312</v>
      </c>
      <c r="B50" s="241"/>
      <c r="C50" s="241"/>
      <c r="D50" s="241"/>
      <c r="E50" s="379">
        <v>3.5973089493965484</v>
      </c>
      <c r="F50" s="379">
        <v>54.77725070264907</v>
      </c>
      <c r="G50" s="379">
        <v>41.625440347954367</v>
      </c>
      <c r="H50" s="180"/>
      <c r="I50" s="180"/>
      <c r="J50" s="182"/>
      <c r="K50" s="183"/>
    </row>
    <row r="51" spans="1:11" x14ac:dyDescent="0.3">
      <c r="A51" s="156" t="s">
        <v>351</v>
      </c>
      <c r="B51" s="5"/>
      <c r="C51" s="5"/>
      <c r="D51" s="5"/>
      <c r="E51" s="5">
        <f>+H51*E50/100</f>
        <v>204.90631506657684</v>
      </c>
      <c r="F51" s="5">
        <f>+H51*F50/100</f>
        <v>3120.1669772735936</v>
      </c>
      <c r="G51" s="5">
        <f>+H51*G50/100</f>
        <v>2371.0267076598288</v>
      </c>
      <c r="H51" s="3">
        <f>7863.1-2167</f>
        <v>5696.1</v>
      </c>
      <c r="I51" s="5">
        <v>5942</v>
      </c>
      <c r="J51" s="138">
        <v>13</v>
      </c>
      <c r="K51" s="245"/>
    </row>
    <row r="52" spans="1:11" x14ac:dyDescent="0.3">
      <c r="A52" s="156" t="s">
        <v>352</v>
      </c>
      <c r="B52" s="5"/>
      <c r="C52" s="5"/>
      <c r="D52" s="5"/>
      <c r="E52" s="5">
        <f>+$H$52*E50/100</f>
        <v>77.953684933423204</v>
      </c>
      <c r="F52" s="5">
        <f>+$H$52*F50/100</f>
        <v>1187.0230227264053</v>
      </c>
      <c r="G52" s="5">
        <f>+$H$52*G50/100</f>
        <v>902.02329234017122</v>
      </c>
      <c r="H52" s="3">
        <v>2167</v>
      </c>
      <c r="I52" s="5">
        <v>2070</v>
      </c>
      <c r="J52" s="310" t="s">
        <v>159</v>
      </c>
      <c r="K52" s="231" t="s">
        <v>159</v>
      </c>
    </row>
    <row r="53" spans="1:11" x14ac:dyDescent="0.3">
      <c r="A53" s="156" t="s">
        <v>688</v>
      </c>
      <c r="B53" s="5"/>
      <c r="C53" s="5"/>
      <c r="D53" s="5"/>
      <c r="E53" s="5"/>
      <c r="F53" s="5">
        <v>13464</v>
      </c>
      <c r="G53" s="5"/>
      <c r="H53" s="3">
        <f>SUM(E53:G53)</f>
        <v>13464</v>
      </c>
      <c r="I53" s="5"/>
      <c r="J53" s="310" t="s">
        <v>232</v>
      </c>
      <c r="K53" s="231"/>
    </row>
    <row r="54" spans="1:11" x14ac:dyDescent="0.3">
      <c r="A54" s="156" t="s">
        <v>353</v>
      </c>
      <c r="B54" s="5"/>
      <c r="C54" s="5"/>
      <c r="D54" s="5"/>
      <c r="E54" s="5">
        <f>+E55-E51-E52-E53</f>
        <v>135510.13999999998</v>
      </c>
      <c r="F54" s="5">
        <f>+F55-F51-F52-F53</f>
        <v>89326.81</v>
      </c>
      <c r="G54" s="5">
        <f>+G55-G51-G52-G53</f>
        <v>20062.95</v>
      </c>
      <c r="H54" s="5">
        <f>SUM(E54:G54)</f>
        <v>244899.9</v>
      </c>
      <c r="I54" s="5">
        <f>+I55-I52</f>
        <v>137506</v>
      </c>
      <c r="J54" s="138">
        <v>13</v>
      </c>
      <c r="K54" s="231">
        <v>13</v>
      </c>
    </row>
    <row r="55" spans="1:11" ht="15" thickBot="1" x14ac:dyDescent="0.35">
      <c r="A55" s="244" t="s">
        <v>141</v>
      </c>
      <c r="B55" s="233">
        <f t="shared" ref="B55:H55" si="4">B12</f>
        <v>11400</v>
      </c>
      <c r="C55" s="233">
        <f t="shared" si="4"/>
        <v>49751</v>
      </c>
      <c r="D55" s="233">
        <f t="shared" si="4"/>
        <v>74642</v>
      </c>
      <c r="E55" s="233">
        <f t="shared" si="4"/>
        <v>135793</v>
      </c>
      <c r="F55" s="233">
        <f t="shared" si="4"/>
        <v>107098</v>
      </c>
      <c r="G55" s="233">
        <f t="shared" si="4"/>
        <v>23336</v>
      </c>
      <c r="H55" s="233">
        <f t="shared" si="4"/>
        <v>266227</v>
      </c>
      <c r="I55" s="233">
        <f>+I12</f>
        <v>139576</v>
      </c>
      <c r="J55" s="185"/>
      <c r="K55" s="186"/>
    </row>
    <row r="56" spans="1:11" x14ac:dyDescent="0.3">
      <c r="F56"/>
      <c r="J56" s="138"/>
    </row>
    <row r="57" spans="1:11" ht="15" thickBot="1" x14ac:dyDescent="0.35">
      <c r="F57"/>
      <c r="J57" s="138"/>
    </row>
    <row r="58" spans="1:11" x14ac:dyDescent="0.3">
      <c r="A58" s="179" t="s">
        <v>348</v>
      </c>
      <c r="B58" s="241"/>
      <c r="C58" s="241"/>
      <c r="D58" s="241"/>
      <c r="E58" s="241"/>
      <c r="F58" s="180"/>
      <c r="G58" s="180"/>
      <c r="H58" s="180"/>
      <c r="I58" s="180"/>
      <c r="J58" s="182"/>
      <c r="K58" s="183"/>
    </row>
    <row r="59" spans="1:11" x14ac:dyDescent="0.3">
      <c r="A59" s="156" t="s">
        <v>354</v>
      </c>
      <c r="B59" s="5"/>
      <c r="C59" s="5"/>
      <c r="D59" s="5"/>
      <c r="E59" s="5">
        <f>'Function Exp'!CU35+0.24</f>
        <v>15531</v>
      </c>
      <c r="F59" s="5">
        <f>'Function Exp'!M35</f>
        <v>292.14</v>
      </c>
      <c r="G59" s="5">
        <f>'Function Exp'!U35+0.29</f>
        <v>54</v>
      </c>
      <c r="H59" s="3">
        <f t="shared" ref="H59:H60" si="5">+SUM(E59:G59)</f>
        <v>15877.14</v>
      </c>
      <c r="I59" s="5">
        <v>8526.18</v>
      </c>
      <c r="J59" s="138">
        <v>17</v>
      </c>
      <c r="K59" s="231">
        <v>17</v>
      </c>
    </row>
    <row r="60" spans="1:11" x14ac:dyDescent="0.3">
      <c r="A60" s="156" t="s">
        <v>355</v>
      </c>
      <c r="B60" s="5"/>
      <c r="C60" s="5"/>
      <c r="D60" s="5"/>
      <c r="E60" s="5">
        <f>'Function Exp'!CU22</f>
        <v>8554.1</v>
      </c>
      <c r="F60" s="5">
        <f>'Function Exp'!M22</f>
        <v>12479.17</v>
      </c>
      <c r="G60" s="5">
        <f>SUM('Function Exp'!U22)+0.21</f>
        <v>9755</v>
      </c>
      <c r="H60" s="3">
        <f t="shared" si="5"/>
        <v>30788.27</v>
      </c>
      <c r="I60" s="5">
        <v>11590.21</v>
      </c>
      <c r="J60" s="138">
        <v>19</v>
      </c>
      <c r="K60" s="231">
        <v>19</v>
      </c>
    </row>
    <row r="61" spans="1:11" ht="15" thickBot="1" x14ac:dyDescent="0.35">
      <c r="A61" s="244" t="s">
        <v>141</v>
      </c>
      <c r="B61" s="237"/>
      <c r="C61" s="237"/>
      <c r="D61" s="237"/>
      <c r="E61" s="233">
        <f>SUM(E59:E60)</f>
        <v>24085.1</v>
      </c>
      <c r="F61" s="233">
        <f t="shared" ref="F61:H61" si="6">SUM(F59:F60)</f>
        <v>12771.31</v>
      </c>
      <c r="G61" s="233">
        <f t="shared" si="6"/>
        <v>9809</v>
      </c>
      <c r="H61" s="233">
        <f t="shared" si="6"/>
        <v>46665.41</v>
      </c>
      <c r="I61" s="233">
        <f>SUM(I59:I60)</f>
        <v>20116.39</v>
      </c>
      <c r="J61" s="185"/>
      <c r="K61" s="186"/>
    </row>
    <row r="62" spans="1:11" x14ac:dyDescent="0.3">
      <c r="F62"/>
      <c r="J62" s="138"/>
    </row>
    <row r="63" spans="1:11" ht="15" thickBot="1" x14ac:dyDescent="0.35">
      <c r="F63"/>
      <c r="J63" s="138"/>
    </row>
    <row r="64" spans="1:11" x14ac:dyDescent="0.3">
      <c r="A64" s="179" t="s">
        <v>316</v>
      </c>
      <c r="B64" s="241"/>
      <c r="C64" s="241"/>
      <c r="D64" s="241"/>
      <c r="E64" s="241"/>
      <c r="F64" s="241"/>
      <c r="G64" s="241"/>
      <c r="H64" s="241"/>
      <c r="I64" s="241"/>
      <c r="J64" s="182"/>
      <c r="K64" s="183"/>
    </row>
    <row r="65" spans="1:11" x14ac:dyDescent="0.3">
      <c r="A65" s="156" t="s">
        <v>356</v>
      </c>
      <c r="B65" s="5"/>
      <c r="C65" s="5"/>
      <c r="D65" s="5"/>
      <c r="E65" s="5">
        <f>+E18</f>
        <v>6682083</v>
      </c>
      <c r="F65" s="5">
        <v>0</v>
      </c>
      <c r="G65" s="5">
        <v>0</v>
      </c>
      <c r="H65" s="4">
        <f t="shared" ref="H65:H66" si="7">+SUM(E65:G65)</f>
        <v>6682083</v>
      </c>
      <c r="I65" s="5">
        <v>2346370</v>
      </c>
      <c r="J65" s="8">
        <v>2</v>
      </c>
      <c r="K65" s="231">
        <v>2</v>
      </c>
    </row>
    <row r="66" spans="1:11" x14ac:dyDescent="0.3">
      <c r="A66" s="156" t="s">
        <v>357</v>
      </c>
      <c r="B66" s="5"/>
      <c r="C66" s="5"/>
      <c r="D66" s="5"/>
      <c r="E66" s="5">
        <v>0</v>
      </c>
      <c r="F66" s="5">
        <f>+F18</f>
        <v>1586</v>
      </c>
      <c r="G66" s="5">
        <v>0</v>
      </c>
      <c r="H66" s="4">
        <f t="shared" si="7"/>
        <v>1586</v>
      </c>
      <c r="I66" s="5">
        <v>66193</v>
      </c>
      <c r="J66" s="8" t="s">
        <v>175</v>
      </c>
      <c r="K66" s="231" t="s">
        <v>175</v>
      </c>
    </row>
    <row r="67" spans="1:11" ht="15" thickBot="1" x14ac:dyDescent="0.35">
      <c r="A67" s="244" t="s">
        <v>141</v>
      </c>
      <c r="B67" s="237"/>
      <c r="C67" s="237"/>
      <c r="D67" s="237"/>
      <c r="E67" s="233">
        <f>SUM(E65:E66)</f>
        <v>6682083</v>
      </c>
      <c r="F67" s="233">
        <f t="shared" ref="F67:H67" si="8">SUM(F65:F66)</f>
        <v>1586</v>
      </c>
      <c r="G67" s="233">
        <f t="shared" si="8"/>
        <v>0</v>
      </c>
      <c r="H67" s="233">
        <f t="shared" si="8"/>
        <v>6683669</v>
      </c>
      <c r="I67" s="233">
        <f>SUM(I65:I66)</f>
        <v>2412563</v>
      </c>
      <c r="J67" s="185"/>
      <c r="K67" s="186"/>
    </row>
    <row r="68" spans="1:11" x14ac:dyDescent="0.3">
      <c r="F68"/>
      <c r="J68" s="138"/>
    </row>
    <row r="69" spans="1:11" x14ac:dyDescent="0.3">
      <c r="F69"/>
      <c r="J69" s="138"/>
    </row>
    <row r="70" spans="1:11" ht="15" customHeight="1" x14ac:dyDescent="0.3">
      <c r="F70"/>
      <c r="J70" s="138"/>
    </row>
    <row r="71" spans="1:11" ht="15.75" customHeight="1" x14ac:dyDescent="0.3">
      <c r="F71"/>
      <c r="J71" s="138"/>
    </row>
    <row r="72" spans="1:11" x14ac:dyDescent="0.3">
      <c r="F72"/>
      <c r="J72" s="138"/>
    </row>
    <row r="73" spans="1:11" x14ac:dyDescent="0.3">
      <c r="F73"/>
      <c r="J73" s="138"/>
    </row>
    <row r="74" spans="1:11" x14ac:dyDescent="0.3">
      <c r="F74"/>
      <c r="J74" s="138"/>
    </row>
    <row r="75" spans="1:11" x14ac:dyDescent="0.3">
      <c r="F75"/>
      <c r="J75" s="138"/>
    </row>
    <row r="76" spans="1:11" x14ac:dyDescent="0.3">
      <c r="J76" s="138"/>
    </row>
    <row r="77" spans="1:11" x14ac:dyDescent="0.3">
      <c r="J77" s="138"/>
    </row>
    <row r="78" spans="1:11" x14ac:dyDescent="0.3">
      <c r="J78" s="138"/>
    </row>
    <row r="79" spans="1:11" x14ac:dyDescent="0.3">
      <c r="J79" s="138"/>
    </row>
    <row r="80" spans="1:11" x14ac:dyDescent="0.3">
      <c r="J80" s="138"/>
    </row>
    <row r="81" spans="10:10" x14ac:dyDescent="0.3">
      <c r="J81" s="138"/>
    </row>
    <row r="82" spans="10:10" x14ac:dyDescent="0.3">
      <c r="J82" s="138"/>
    </row>
    <row r="83" spans="10:10" x14ac:dyDescent="0.3">
      <c r="J83" s="138"/>
    </row>
    <row r="84" spans="10:10" x14ac:dyDescent="0.3">
      <c r="J84" s="138"/>
    </row>
    <row r="85" spans="10:10" x14ac:dyDescent="0.3">
      <c r="J85" s="138"/>
    </row>
    <row r="86" spans="10:10" x14ac:dyDescent="0.3">
      <c r="J86" s="138"/>
    </row>
    <row r="87" spans="10:10" x14ac:dyDescent="0.3">
      <c r="J87" s="138"/>
    </row>
    <row r="88" spans="10:10" x14ac:dyDescent="0.3">
      <c r="J88" s="138"/>
    </row>
    <row r="89" spans="10:10" x14ac:dyDescent="0.3">
      <c r="J89" s="138"/>
    </row>
    <row r="90" spans="10:10" x14ac:dyDescent="0.3">
      <c r="J90" s="138"/>
    </row>
    <row r="91" spans="10:10" x14ac:dyDescent="0.3">
      <c r="J91" s="138"/>
    </row>
    <row r="92" spans="10:10" x14ac:dyDescent="0.3">
      <c r="J92" s="138"/>
    </row>
    <row r="93" spans="10:10" x14ac:dyDescent="0.3">
      <c r="J93" s="138"/>
    </row>
    <row r="94" spans="10:10" x14ac:dyDescent="0.3">
      <c r="J94" s="138"/>
    </row>
    <row r="95" spans="10:10" x14ac:dyDescent="0.3">
      <c r="J95" s="138"/>
    </row>
    <row r="96" spans="10:10" x14ac:dyDescent="0.3">
      <c r="J96" s="138"/>
    </row>
    <row r="97" spans="10:10" x14ac:dyDescent="0.3">
      <c r="J97" s="138"/>
    </row>
    <row r="98" spans="10:10" x14ac:dyDescent="0.3">
      <c r="J98" s="138"/>
    </row>
    <row r="99" spans="10:10" x14ac:dyDescent="0.3">
      <c r="J99" s="138"/>
    </row>
    <row r="100" spans="10:10" x14ac:dyDescent="0.3">
      <c r="J100" s="138"/>
    </row>
    <row r="101" spans="10:10" x14ac:dyDescent="0.3">
      <c r="J101" s="138"/>
    </row>
    <row r="102" spans="10:10" x14ac:dyDescent="0.3">
      <c r="J102" s="138"/>
    </row>
    <row r="103" spans="10:10" x14ac:dyDescent="0.3">
      <c r="J103" s="138"/>
    </row>
    <row r="104" spans="10:10" x14ac:dyDescent="0.3">
      <c r="J104" s="138"/>
    </row>
    <row r="105" spans="10:10" x14ac:dyDescent="0.3">
      <c r="J105" s="138"/>
    </row>
    <row r="106" spans="10:10" x14ac:dyDescent="0.3">
      <c r="J106" s="138"/>
    </row>
    <row r="107" spans="10:10" x14ac:dyDescent="0.3">
      <c r="J107" s="138"/>
    </row>
    <row r="108" spans="10:10" x14ac:dyDescent="0.3">
      <c r="J108" s="138"/>
    </row>
    <row r="109" spans="10:10" x14ac:dyDescent="0.3">
      <c r="J109" s="138"/>
    </row>
  </sheetData>
  <autoFilter ref="A3:L67" xr:uid="{00000000-0009-0000-0000-000009000000}"/>
  <mergeCells count="2">
    <mergeCell ref="B2:E2"/>
    <mergeCell ref="F2:G2"/>
  </mergeCells>
  <dataValidations disablePrompts="1" count="3">
    <dataValidation type="list" allowBlank="1" showInputMessage="1" showErrorMessage="1" prompt="Line No (Select from Drag Gown)" sqref="J110:J123" xr:uid="{00000000-0002-0000-0900-000000000000}">
      <formula1>"1, 2, 3, 4, 5, 6, 7, 8, 9, 10, 11a, 11b, 11d, 11e, 11f, 11g, 12, 13, 14, 15, 16, 17, 18, 19, 20, 21, 22, 23, 24, 24a, 24b, 24c, 24d, 24e"</formula1>
    </dataValidation>
    <dataValidation type="list" allowBlank="1" showInputMessage="1" showErrorMessage="1" prompt="Line No (Select from Drag Gown)" sqref="J21" xr:uid="{00000000-0002-0000-0900-000001000000}">
      <formula1>"1, 2, 3, 4, 5, 6, 7, 8, 9, 10, 11a, 11b, 11c, 11d, 11e, 11f, 11g, 12, 13, 14, 15, 16, 17, 18, 19, 20, 21, 22, 23, 24, 24a, 24b, 24c, 24d, 24e"</formula1>
    </dataValidation>
    <dataValidation type="list" allowBlank="1" showInputMessage="1" showErrorMessage="1" prompt="Line No (Select from Drag Gown)" sqref="K26:K30 J67:J109 J22:J64 J4:K20" xr:uid="{00000000-0002-0000-0900-000002000000}">
      <formula1>"1, 2, 3, 4, 5, 6, 7, 8, 9, 10, 11a, 11b, 11c, 11d, 11e, 11f, 11g, 12, 13, 14, 15, 16, 17, 18, 19, 20, 21, 22, 23, 24, 24a, 24b, 24c, 24d, 24e, Refer to below Working, Adj-DS, Adj-PY, Adj-Other Loss, Adj-Other, Adj-IE"</formula1>
    </dataValidation>
  </dataValidations>
  <hyperlinks>
    <hyperlink ref="K4" location="SOFE!A25" display="Refer to below Working" xr:uid="{00000000-0004-0000-0900-000000000000}"/>
    <hyperlink ref="K5" location="SOFE!A25" display="Refer to below Working" xr:uid="{00000000-0004-0000-0900-000001000000}"/>
    <hyperlink ref="K6" location="SOFE!A25" display="Refer to below Working" xr:uid="{00000000-0004-0000-0900-000002000000}"/>
    <hyperlink ref="J4" location="SOFE!A25" display="Refer to below Working" xr:uid="{00000000-0004-0000-0900-000003000000}"/>
    <hyperlink ref="J5" location="SOFE!A25" display="Refer to below Working" xr:uid="{00000000-0004-0000-0900-000004000000}"/>
    <hyperlink ref="J8" location="SOFE!A34" display="Refer to below Working" xr:uid="{00000000-0004-0000-0900-000005000000}"/>
    <hyperlink ref="J12" location="SOFE!A50" display="Refer to below Working" xr:uid="{00000000-0004-0000-0900-000006000000}"/>
    <hyperlink ref="J17" location="SOFE!A57" display="Refer to below Working" xr:uid="{00000000-0004-0000-0900-000007000000}"/>
    <hyperlink ref="J18" location="SOFE!A63" display="Refer to below Working" xr:uid="{00000000-0004-0000-0900-000008000000}"/>
    <hyperlink ref="J6" location="SOFE!A25" display="Refer to below Working" xr:uid="{00000000-0004-0000-0900-000009000000}"/>
    <hyperlink ref="J39" location="SOFE!A44" display="Refer to below Working" xr:uid="{00000000-0004-0000-0900-00000A000000}"/>
    <hyperlink ref="K8" location="SOFE!A34" display="Refer to below Working" xr:uid="{00000000-0004-0000-0900-00000B000000}"/>
    <hyperlink ref="K12" location="SOFE!A50" display="Refer to below Working" xr:uid="{00000000-0004-0000-0900-00000C000000}"/>
    <hyperlink ref="K17" location="SOFE!A57" display="Refer to below Working" xr:uid="{00000000-0004-0000-0900-00000D000000}"/>
    <hyperlink ref="K18" location="SOFE!A63" display="Refer to below Working" xr:uid="{00000000-0004-0000-0900-00000E000000}"/>
  </hyperlink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O15"/>
  <sheetViews>
    <sheetView workbookViewId="0">
      <selection activeCell="E14" sqref="E14"/>
    </sheetView>
  </sheetViews>
  <sheetFormatPr defaultRowHeight="14.4" x14ac:dyDescent="0.3"/>
  <cols>
    <col min="1" max="1" width="19.5546875" customWidth="1"/>
    <col min="2" max="2" width="19.109375" bestFit="1" customWidth="1"/>
    <col min="3" max="3" width="22.88671875" bestFit="1" customWidth="1"/>
    <col min="4" max="5" width="13.88671875" bestFit="1" customWidth="1"/>
    <col min="6" max="6" width="4.33203125" customWidth="1"/>
    <col min="7" max="7" width="12.88671875" bestFit="1" customWidth="1"/>
    <col min="8" max="8" width="22.88671875" bestFit="1" customWidth="1"/>
    <col min="9" max="9" width="13.6640625" customWidth="1"/>
    <col min="10" max="10" width="12.88671875" bestFit="1" customWidth="1"/>
    <col min="11" max="11" width="4.44140625" customWidth="1"/>
    <col min="12" max="12" width="13.5546875" bestFit="1" customWidth="1"/>
    <col min="13" max="13" width="22.88671875" bestFit="1" customWidth="1"/>
    <col min="14" max="14" width="11.33203125" bestFit="1" customWidth="1"/>
    <col min="15" max="15" width="13.5546875" bestFit="1" customWidth="1"/>
  </cols>
  <sheetData>
    <row r="1" spans="1:15" x14ac:dyDescent="0.3">
      <c r="A1" s="447" t="s">
        <v>274</v>
      </c>
      <c r="B1" s="447"/>
      <c r="C1" s="447"/>
      <c r="D1" s="447"/>
      <c r="E1" s="447"/>
    </row>
    <row r="2" spans="1:15" x14ac:dyDescent="0.3">
      <c r="A2" s="1"/>
    </row>
    <row r="3" spans="1:15" x14ac:dyDescent="0.3">
      <c r="A3" s="446" t="s">
        <v>275</v>
      </c>
      <c r="B3" s="446"/>
      <c r="C3" s="446"/>
      <c r="D3" s="446"/>
      <c r="E3" s="446"/>
      <c r="G3" s="446" t="s">
        <v>276</v>
      </c>
      <c r="H3" s="446"/>
      <c r="I3" s="446"/>
      <c r="J3" s="446"/>
      <c r="L3" s="446" t="s">
        <v>277</v>
      </c>
      <c r="M3" s="446"/>
      <c r="N3" s="446"/>
      <c r="O3" s="446"/>
    </row>
    <row r="4" spans="1:15" x14ac:dyDescent="0.3">
      <c r="A4" s="137"/>
      <c r="B4" s="137" t="s">
        <v>278</v>
      </c>
      <c r="C4" s="137" t="s">
        <v>279</v>
      </c>
      <c r="D4" s="137" t="s">
        <v>144</v>
      </c>
      <c r="E4" s="137" t="s">
        <v>141</v>
      </c>
      <c r="G4" s="137" t="s">
        <v>278</v>
      </c>
      <c r="H4" s="137" t="s">
        <v>279</v>
      </c>
      <c r="I4" s="137" t="s">
        <v>144</v>
      </c>
      <c r="J4" s="137" t="s">
        <v>141</v>
      </c>
      <c r="L4" s="137" t="s">
        <v>278</v>
      </c>
      <c r="M4" s="137" t="s">
        <v>279</v>
      </c>
      <c r="N4" s="137" t="s">
        <v>144</v>
      </c>
      <c r="O4" s="137" t="s">
        <v>141</v>
      </c>
    </row>
    <row r="5" spans="1:15" x14ac:dyDescent="0.3">
      <c r="A5" s="55" t="s">
        <v>280</v>
      </c>
      <c r="B5" s="14">
        <f>+SOFE!E4</f>
        <v>2827251</v>
      </c>
      <c r="C5" s="14">
        <f>+SOFE!F4</f>
        <v>352109</v>
      </c>
      <c r="D5" s="14">
        <f>+SOFE!G4</f>
        <v>201392</v>
      </c>
      <c r="E5" s="14">
        <f>SUM(B5:D5)</f>
        <v>3380752</v>
      </c>
      <c r="G5" s="14">
        <f>+$J$5/$E$5*B5</f>
        <v>157805.79696469897</v>
      </c>
      <c r="H5" s="14">
        <f>+$J$5/$E$5*C5</f>
        <v>19653.310358168834</v>
      </c>
      <c r="I5" s="14">
        <f>+$J$5/$E$5*D5</f>
        <v>11240.892677132188</v>
      </c>
      <c r="J5" s="14">
        <f>+B15</f>
        <v>188700</v>
      </c>
      <c r="L5" s="13">
        <f>+B5-G5</f>
        <v>2669445.2030353011</v>
      </c>
      <c r="M5" s="13">
        <f t="shared" ref="M5:N5" si="0">+C5-H5</f>
        <v>332455.68964183115</v>
      </c>
      <c r="N5" s="13">
        <f t="shared" si="0"/>
        <v>190151.10732286781</v>
      </c>
      <c r="O5" s="13">
        <f>+SUM(L5:N5)</f>
        <v>3192052</v>
      </c>
    </row>
    <row r="6" spans="1:15" x14ac:dyDescent="0.3">
      <c r="A6" s="12" t="s">
        <v>281</v>
      </c>
      <c r="B6" s="14">
        <f>'Function Exp'!CU50</f>
        <v>77246.81</v>
      </c>
      <c r="C6" s="368">
        <f>'Function Exp'!CW50+'Function Exp'!M50</f>
        <v>13761.980000000001</v>
      </c>
      <c r="D6" s="368">
        <f>'Function Exp'!U50</f>
        <v>1816.19</v>
      </c>
      <c r="E6" s="14">
        <f>SUM(B6:D6)</f>
        <v>92824.98</v>
      </c>
      <c r="G6" s="14">
        <f>+$J$6/$E$6*B6</f>
        <v>7793.1125760684245</v>
      </c>
      <c r="H6" s="14">
        <f>+$J$6/$E$6*C6</f>
        <v>1388.3894934897914</v>
      </c>
      <c r="I6" s="14">
        <f>+$J$6/$E$6*D6</f>
        <v>183.22793044178411</v>
      </c>
      <c r="J6" s="13">
        <f>+D15</f>
        <v>9364.73</v>
      </c>
      <c r="L6" s="13">
        <f t="shared" ref="L6:L8" si="1">+B6-G6</f>
        <v>69453.697423931575</v>
      </c>
      <c r="M6" s="13">
        <f t="shared" ref="M6:M8" si="2">+C6-H6</f>
        <v>12373.590506510211</v>
      </c>
      <c r="N6" s="13">
        <f t="shared" ref="N6:N8" si="3">+D6-I6</f>
        <v>1632.9620695582159</v>
      </c>
      <c r="O6" s="13">
        <f t="shared" ref="O6:O8" si="4">+SUM(L6:N6)</f>
        <v>83460.25</v>
      </c>
    </row>
    <row r="7" spans="1:15" x14ac:dyDescent="0.3">
      <c r="A7" s="12" t="s">
        <v>272</v>
      </c>
      <c r="B7" s="14">
        <f>SUM('Function Exp'!CU51:CU52)+0.25</f>
        <v>376438.96</v>
      </c>
      <c r="C7" s="368">
        <f>SUM('Function Exp'!M51:M52)-0.25-0.24</f>
        <v>66785.999999999985</v>
      </c>
      <c r="D7" s="368">
        <f>SUM('Function Exp'!U51:U52)</f>
        <v>12046.68</v>
      </c>
      <c r="E7" s="14">
        <f>SUM(B7:D7)</f>
        <v>455271.64</v>
      </c>
      <c r="G7" s="14">
        <f>+$J$7/$E$7*B7</f>
        <v>20414.019352880405</v>
      </c>
      <c r="H7" s="14">
        <f>+$J$7/$E$7*C7</f>
        <v>3621.7576854995837</v>
      </c>
      <c r="I7" s="14">
        <f>+$J$7/$E$7*D7</f>
        <v>653.2829616200122</v>
      </c>
      <c r="J7" s="13">
        <f>+C15</f>
        <v>24689.06</v>
      </c>
      <c r="L7" s="13">
        <f t="shared" si="1"/>
        <v>356024.9406471196</v>
      </c>
      <c r="M7" s="13">
        <f t="shared" si="2"/>
        <v>63164.2423145004</v>
      </c>
      <c r="N7" s="13">
        <f t="shared" si="3"/>
        <v>11393.397038379988</v>
      </c>
      <c r="O7" s="13">
        <f t="shared" si="4"/>
        <v>430582.57999999996</v>
      </c>
    </row>
    <row r="8" spans="1:15" x14ac:dyDescent="0.3">
      <c r="A8" s="12" t="s">
        <v>273</v>
      </c>
      <c r="B8" s="14">
        <f>+SOFE!E6</f>
        <v>252343</v>
      </c>
      <c r="C8" s="14">
        <f>+SOFE!F6</f>
        <v>12636</v>
      </c>
      <c r="D8" s="14">
        <f>+SOFE!G6</f>
        <v>7262</v>
      </c>
      <c r="E8" s="14">
        <f>SUM(B8:D8)</f>
        <v>272241</v>
      </c>
      <c r="G8" s="15"/>
      <c r="H8" s="14"/>
      <c r="I8" s="14"/>
      <c r="J8" s="13"/>
      <c r="L8" s="13">
        <f t="shared" si="1"/>
        <v>252343</v>
      </c>
      <c r="M8" s="13">
        <f t="shared" si="2"/>
        <v>12636</v>
      </c>
      <c r="N8" s="13">
        <f t="shared" si="3"/>
        <v>7262</v>
      </c>
      <c r="O8" s="13">
        <f t="shared" si="4"/>
        <v>272241</v>
      </c>
    </row>
    <row r="9" spans="1:15" x14ac:dyDescent="0.3">
      <c r="A9" s="12" t="s">
        <v>141</v>
      </c>
      <c r="B9" s="368">
        <f>+SUM(B5:B8)</f>
        <v>3533279.77</v>
      </c>
      <c r="C9" s="368">
        <f t="shared" ref="C9:E9" si="5">+SUM(C5:C8)</f>
        <v>445292.98</v>
      </c>
      <c r="D9" s="368">
        <f t="shared" si="5"/>
        <v>222516.87</v>
      </c>
      <c r="E9" s="368">
        <f t="shared" si="5"/>
        <v>4201089.62</v>
      </c>
      <c r="G9" s="15">
        <f>+SUM(G5:G8)</f>
        <v>186012.9288936478</v>
      </c>
      <c r="H9" s="15">
        <f t="shared" ref="H9" si="6">+SUM(H5:H8)</f>
        <v>24663.457537158207</v>
      </c>
      <c r="I9" s="15">
        <f>+SUM(I5:I8)</f>
        <v>12077.403569193984</v>
      </c>
      <c r="J9" s="15">
        <f>+SUM(J5:J8)</f>
        <v>222753.79</v>
      </c>
      <c r="L9" s="15">
        <f>+SUM(L5:L8)</f>
        <v>3347266.8411063524</v>
      </c>
      <c r="M9" s="15">
        <f t="shared" ref="M9" si="7">+SUM(M5:M8)</f>
        <v>420629.52246284176</v>
      </c>
      <c r="N9" s="15">
        <f t="shared" ref="N9" si="8">+SUM(N5:N8)</f>
        <v>210439.466430806</v>
      </c>
      <c r="O9" s="15">
        <f t="shared" ref="O9" si="9">+SUM(O5:O8)</f>
        <v>3978335.83</v>
      </c>
    </row>
    <row r="10" spans="1:15" x14ac:dyDescent="0.3">
      <c r="B10" s="16"/>
      <c r="C10" s="16"/>
      <c r="D10" s="16"/>
      <c r="E10" s="16"/>
      <c r="G10" s="4"/>
      <c r="H10" s="4"/>
      <c r="I10" s="4"/>
      <c r="J10" s="17"/>
      <c r="L10" s="7"/>
      <c r="M10" s="7"/>
      <c r="N10" s="7"/>
      <c r="O10" s="18"/>
    </row>
    <row r="12" spans="1:15" x14ac:dyDescent="0.3">
      <c r="A12" t="s">
        <v>282</v>
      </c>
    </row>
    <row r="13" spans="1:15" x14ac:dyDescent="0.3">
      <c r="A13" s="12" t="s">
        <v>283</v>
      </c>
      <c r="B13" s="11" t="s">
        <v>284</v>
      </c>
      <c r="C13" s="11" t="s">
        <v>285</v>
      </c>
      <c r="D13" s="11" t="s">
        <v>281</v>
      </c>
      <c r="E13" s="11" t="s">
        <v>141</v>
      </c>
    </row>
    <row r="14" spans="1:15" x14ac:dyDescent="0.3">
      <c r="A14" s="2" t="s">
        <v>686</v>
      </c>
      <c r="B14" s="368">
        <v>188700</v>
      </c>
      <c r="C14" s="368">
        <f>22790.02+1899.04</f>
        <v>24689.06</v>
      </c>
      <c r="D14" s="368">
        <v>9364.73</v>
      </c>
      <c r="E14" s="368">
        <f>SUM(B14:D14)</f>
        <v>222753.79</v>
      </c>
    </row>
    <row r="15" spans="1:15" x14ac:dyDescent="0.3">
      <c r="A15" s="2"/>
      <c r="B15" s="374">
        <f>SUM(B14:B14)</f>
        <v>188700</v>
      </c>
      <c r="C15" s="374">
        <f>SUM(C14:C14)</f>
        <v>24689.06</v>
      </c>
      <c r="D15" s="374">
        <f>SUM(D14:D14)</f>
        <v>9364.73</v>
      </c>
      <c r="E15" s="374">
        <f>SUM(E14:E14)</f>
        <v>222753.79</v>
      </c>
    </row>
  </sheetData>
  <mergeCells count="4">
    <mergeCell ref="A3:E3"/>
    <mergeCell ref="G3:J3"/>
    <mergeCell ref="L3:O3"/>
    <mergeCell ref="A1:E1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D1"/>
  <sheetViews>
    <sheetView workbookViewId="0"/>
  </sheetViews>
  <sheetFormatPr defaultColWidth="9.109375" defaultRowHeight="14.4" x14ac:dyDescent="0.3"/>
  <cols>
    <col min="1" max="3" width="9.109375" style="9"/>
    <col min="4" max="4" width="9.109375" style="10"/>
    <col min="5" max="16384" width="9.109375" style="9"/>
  </cols>
  <sheetData>
    <row r="1" spans="1:1" x14ac:dyDescent="0.3">
      <c r="A1" s="126" t="s">
        <v>264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/>
  <dimension ref="B1:G110"/>
  <sheetViews>
    <sheetView workbookViewId="0">
      <selection activeCell="B5" sqref="B5"/>
    </sheetView>
  </sheetViews>
  <sheetFormatPr defaultRowHeight="14.4" x14ac:dyDescent="0.3"/>
  <cols>
    <col min="1" max="1" width="3.88671875" customWidth="1"/>
    <col min="2" max="2" width="45.5546875" style="26" customWidth="1"/>
    <col min="3" max="3" width="17.6640625" style="78" customWidth="1"/>
    <col min="4" max="4" width="21" style="3" customWidth="1"/>
    <col min="5" max="5" width="22.33203125" style="133" bestFit="1" customWidth="1"/>
    <col min="6" max="6" width="22.33203125" style="134" bestFit="1" customWidth="1"/>
    <col min="7" max="7" width="18.5546875" customWidth="1"/>
  </cols>
  <sheetData>
    <row r="1" spans="2:7" ht="15" thickBot="1" x14ac:dyDescent="0.35">
      <c r="B1" s="24"/>
      <c r="C1" s="112"/>
      <c r="D1" s="113"/>
    </row>
    <row r="2" spans="2:7" s="8" customFormat="1" ht="14.25" customHeight="1" x14ac:dyDescent="0.3">
      <c r="B2" s="449" t="s">
        <v>286</v>
      </c>
      <c r="C2" s="450"/>
      <c r="D2" s="451"/>
      <c r="E2" s="131"/>
      <c r="F2" s="131"/>
    </row>
    <row r="3" spans="2:7" s="8" customFormat="1" x14ac:dyDescent="0.3">
      <c r="B3" s="98" t="s">
        <v>59</v>
      </c>
      <c r="C3" s="99">
        <v>2023</v>
      </c>
      <c r="D3" s="100">
        <v>2024</v>
      </c>
      <c r="E3" s="132" t="s">
        <v>287</v>
      </c>
      <c r="F3" s="132" t="s">
        <v>288</v>
      </c>
      <c r="G3" s="79"/>
    </row>
    <row r="4" spans="2:7" x14ac:dyDescent="0.3">
      <c r="B4" s="23" t="s">
        <v>185</v>
      </c>
      <c r="C4" s="84"/>
      <c r="D4" s="85"/>
      <c r="E4" s="135"/>
      <c r="F4" s="136"/>
    </row>
    <row r="5" spans="2:7" x14ac:dyDescent="0.3">
      <c r="B5" s="23" t="s">
        <v>289</v>
      </c>
      <c r="C5" s="84"/>
      <c r="D5" s="85"/>
      <c r="E5" s="135"/>
      <c r="F5" s="136"/>
    </row>
    <row r="6" spans="2:7" x14ac:dyDescent="0.3">
      <c r="B6" s="32" t="s">
        <v>358</v>
      </c>
      <c r="C6" s="25">
        <v>2880183</v>
      </c>
      <c r="D6" s="85">
        <v>1118499</v>
      </c>
      <c r="E6" s="246" t="s">
        <v>363</v>
      </c>
      <c r="F6" s="246" t="s">
        <v>294</v>
      </c>
    </row>
    <row r="7" spans="2:7" x14ac:dyDescent="0.3">
      <c r="B7" s="32" t="s">
        <v>359</v>
      </c>
      <c r="C7" s="25">
        <v>869889</v>
      </c>
      <c r="D7" s="85">
        <v>615104</v>
      </c>
      <c r="E7" s="136">
        <v>3</v>
      </c>
      <c r="F7" s="136">
        <v>3</v>
      </c>
    </row>
    <row r="8" spans="2:7" x14ac:dyDescent="0.3">
      <c r="B8" s="32" t="s">
        <v>545</v>
      </c>
      <c r="C8" s="25"/>
      <c r="D8" s="85">
        <v>1726113</v>
      </c>
      <c r="E8" s="136"/>
      <c r="F8" s="136">
        <v>3</v>
      </c>
    </row>
    <row r="9" spans="2:7" x14ac:dyDescent="0.3">
      <c r="B9" s="32" t="s">
        <v>361</v>
      </c>
      <c r="C9" s="25">
        <v>31000</v>
      </c>
      <c r="D9" s="85">
        <v>154588</v>
      </c>
      <c r="E9" s="136">
        <v>3</v>
      </c>
      <c r="F9" s="136">
        <v>3</v>
      </c>
    </row>
    <row r="10" spans="2:7" x14ac:dyDescent="0.3">
      <c r="B10" s="32" t="s">
        <v>360</v>
      </c>
      <c r="C10" s="25">
        <v>3706</v>
      </c>
      <c r="D10" s="85">
        <v>0</v>
      </c>
      <c r="E10" s="136">
        <v>4</v>
      </c>
      <c r="F10" s="136"/>
    </row>
    <row r="11" spans="2:7" x14ac:dyDescent="0.3">
      <c r="B11" s="32" t="s">
        <v>362</v>
      </c>
      <c r="C11" s="25">
        <v>29175</v>
      </c>
      <c r="D11" s="85">
        <v>29175</v>
      </c>
      <c r="E11" s="136">
        <v>15</v>
      </c>
      <c r="F11" s="136">
        <v>15</v>
      </c>
    </row>
    <row r="12" spans="2:7" x14ac:dyDescent="0.3">
      <c r="B12" s="32" t="s">
        <v>685</v>
      </c>
      <c r="C12" s="25">
        <v>3210</v>
      </c>
      <c r="D12" s="85">
        <v>2361</v>
      </c>
      <c r="E12" s="136">
        <v>8</v>
      </c>
      <c r="F12" s="136">
        <v>8</v>
      </c>
    </row>
    <row r="13" spans="2:7" x14ac:dyDescent="0.3">
      <c r="B13" s="32" t="s">
        <v>314</v>
      </c>
      <c r="C13" s="25">
        <v>63626</v>
      </c>
      <c r="D13" s="85">
        <v>45259</v>
      </c>
      <c r="E13" s="136">
        <v>9</v>
      </c>
      <c r="F13" s="136">
        <v>9</v>
      </c>
    </row>
    <row r="14" spans="2:7" x14ac:dyDescent="0.3">
      <c r="B14" s="23" t="s">
        <v>291</v>
      </c>
      <c r="C14" s="84">
        <f>+SUM(C6:C13)</f>
        <v>3880789</v>
      </c>
      <c r="D14" s="86">
        <f>SUM(D6:D13)</f>
        <v>3691099</v>
      </c>
      <c r="E14" s="136"/>
      <c r="F14" s="136"/>
    </row>
    <row r="15" spans="2:7" x14ac:dyDescent="0.3">
      <c r="B15" s="23"/>
      <c r="C15" s="84"/>
      <c r="D15" s="85"/>
      <c r="E15" s="136"/>
      <c r="F15" s="136"/>
    </row>
    <row r="16" spans="2:7" x14ac:dyDescent="0.3">
      <c r="B16" s="23" t="s">
        <v>292</v>
      </c>
      <c r="C16" s="84"/>
      <c r="D16" s="85"/>
      <c r="E16" s="136"/>
      <c r="F16" s="136"/>
    </row>
    <row r="17" spans="2:6" x14ac:dyDescent="0.3">
      <c r="B17" s="32" t="s">
        <v>290</v>
      </c>
      <c r="C17" s="25">
        <v>412460</v>
      </c>
      <c r="D17" s="85">
        <v>975077</v>
      </c>
      <c r="E17" s="136">
        <v>12</v>
      </c>
      <c r="F17" s="136">
        <v>12</v>
      </c>
    </row>
    <row r="18" spans="2:6" x14ac:dyDescent="0.3">
      <c r="B18" s="32" t="s">
        <v>364</v>
      </c>
      <c r="C18" s="25">
        <v>99736</v>
      </c>
      <c r="D18" s="85">
        <v>103435</v>
      </c>
      <c r="E18" s="136">
        <v>3</v>
      </c>
      <c r="F18" s="136">
        <v>3</v>
      </c>
    </row>
    <row r="19" spans="2:6" x14ac:dyDescent="0.3">
      <c r="B19" s="32" t="s">
        <v>293</v>
      </c>
      <c r="C19" s="25">
        <f>+C50</f>
        <v>9724</v>
      </c>
      <c r="D19" s="85">
        <f>+D50</f>
        <v>6439</v>
      </c>
      <c r="E19" s="251" t="s">
        <v>294</v>
      </c>
      <c r="F19" s="251" t="s">
        <v>294</v>
      </c>
    </row>
    <row r="20" spans="2:6" x14ac:dyDescent="0.3">
      <c r="B20" s="32" t="s">
        <v>365</v>
      </c>
      <c r="C20" s="25">
        <v>342890</v>
      </c>
      <c r="D20" s="85">
        <f>D69</f>
        <v>556564</v>
      </c>
      <c r="E20" s="246" t="s">
        <v>294</v>
      </c>
      <c r="F20" s="246" t="s">
        <v>294</v>
      </c>
    </row>
    <row r="21" spans="2:6" x14ac:dyDescent="0.3">
      <c r="B21" s="23" t="s">
        <v>295</v>
      </c>
      <c r="C21" s="84">
        <f>SUM(C17:C20)</f>
        <v>864810</v>
      </c>
      <c r="D21" s="86">
        <f>SUM(D17:D20)</f>
        <v>1641515</v>
      </c>
      <c r="E21" s="136"/>
      <c r="F21" s="136"/>
    </row>
    <row r="22" spans="2:6" x14ac:dyDescent="0.3">
      <c r="B22" s="23"/>
      <c r="C22" s="84"/>
      <c r="D22" s="85"/>
      <c r="E22" s="136"/>
      <c r="F22" s="136"/>
    </row>
    <row r="23" spans="2:6" ht="15" thickBot="1" x14ac:dyDescent="0.35">
      <c r="B23" s="27" t="s">
        <v>203</v>
      </c>
      <c r="C23" s="87">
        <f>+C21+C14</f>
        <v>4745599</v>
      </c>
      <c r="D23" s="88">
        <f>D14+D21</f>
        <v>5332614</v>
      </c>
      <c r="E23" s="136"/>
      <c r="F23" s="136"/>
    </row>
    <row r="24" spans="2:6" ht="15" thickBot="1" x14ac:dyDescent="0.35">
      <c r="B24" s="24"/>
      <c r="D24" s="6"/>
      <c r="E24" s="136"/>
      <c r="F24" s="136"/>
    </row>
    <row r="25" spans="2:6" x14ac:dyDescent="0.3">
      <c r="B25" s="452" t="s">
        <v>296</v>
      </c>
      <c r="C25" s="453"/>
      <c r="D25" s="454"/>
      <c r="E25" s="136"/>
      <c r="F25" s="136"/>
    </row>
    <row r="26" spans="2:6" x14ac:dyDescent="0.3">
      <c r="B26" s="23" t="s">
        <v>297</v>
      </c>
      <c r="C26" s="84"/>
      <c r="D26" s="85"/>
      <c r="E26" s="136"/>
      <c r="F26" s="136"/>
    </row>
    <row r="27" spans="2:6" x14ac:dyDescent="0.3">
      <c r="B27" s="23" t="s">
        <v>298</v>
      </c>
      <c r="C27" s="84"/>
      <c r="D27" s="85"/>
      <c r="E27" s="136"/>
      <c r="F27" s="136"/>
    </row>
    <row r="28" spans="2:6" x14ac:dyDescent="0.3">
      <c r="B28" s="32" t="s">
        <v>366</v>
      </c>
      <c r="C28" s="25">
        <v>277031</v>
      </c>
      <c r="D28" s="85">
        <v>1073155</v>
      </c>
      <c r="E28" s="136">
        <v>17</v>
      </c>
      <c r="F28" s="136">
        <v>17</v>
      </c>
    </row>
    <row r="29" spans="2:6" x14ac:dyDescent="0.3">
      <c r="B29" s="32" t="s">
        <v>367</v>
      </c>
      <c r="C29" s="25">
        <v>80707</v>
      </c>
      <c r="D29" s="85">
        <v>194127</v>
      </c>
      <c r="E29" s="136">
        <v>17</v>
      </c>
      <c r="F29" s="136">
        <v>17</v>
      </c>
    </row>
    <row r="30" spans="2:6" x14ac:dyDescent="0.3">
      <c r="B30" s="32" t="s">
        <v>547</v>
      </c>
      <c r="C30" s="25">
        <v>0</v>
      </c>
      <c r="D30" s="85">
        <v>1054229</v>
      </c>
      <c r="E30" s="246"/>
      <c r="F30" s="311">
        <v>19</v>
      </c>
    </row>
    <row r="31" spans="2:6" x14ac:dyDescent="0.3">
      <c r="B31" s="32" t="s">
        <v>368</v>
      </c>
      <c r="C31" s="25">
        <v>3318</v>
      </c>
      <c r="D31" s="85">
        <v>11298</v>
      </c>
      <c r="E31" s="311">
        <v>17</v>
      </c>
      <c r="F31" s="311">
        <v>17</v>
      </c>
    </row>
    <row r="32" spans="2:6" x14ac:dyDescent="0.3">
      <c r="B32" s="32" t="s">
        <v>369</v>
      </c>
      <c r="C32" s="25">
        <v>154536</v>
      </c>
      <c r="D32" s="85">
        <v>220287</v>
      </c>
      <c r="E32" s="136">
        <v>25</v>
      </c>
      <c r="F32" s="136">
        <v>25</v>
      </c>
    </row>
    <row r="33" spans="2:6" x14ac:dyDescent="0.3">
      <c r="B33" s="23" t="s">
        <v>299</v>
      </c>
      <c r="C33" s="84">
        <f>+SUM(C28:C32)</f>
        <v>515592</v>
      </c>
      <c r="D33" s="86">
        <f>SUM(D28:D32)</f>
        <v>2553096</v>
      </c>
      <c r="E33" s="136"/>
      <c r="F33" s="136"/>
    </row>
    <row r="34" spans="2:6" x14ac:dyDescent="0.3">
      <c r="B34" s="23" t="s">
        <v>370</v>
      </c>
      <c r="C34" s="84"/>
      <c r="D34" s="86"/>
      <c r="E34" s="136"/>
      <c r="F34" s="136"/>
    </row>
    <row r="35" spans="2:6" x14ac:dyDescent="0.3">
      <c r="B35" s="32" t="s">
        <v>371</v>
      </c>
      <c r="C35" s="25">
        <v>188354</v>
      </c>
      <c r="D35" s="85">
        <v>339405</v>
      </c>
      <c r="E35" s="136">
        <v>25</v>
      </c>
      <c r="F35" s="136">
        <v>25</v>
      </c>
    </row>
    <row r="36" spans="2:6" x14ac:dyDescent="0.3">
      <c r="B36" s="23" t="s">
        <v>372</v>
      </c>
      <c r="C36" s="84">
        <f>+C35</f>
        <v>188354</v>
      </c>
      <c r="D36" s="86">
        <f>+D35</f>
        <v>339405</v>
      </c>
      <c r="E36" s="136"/>
      <c r="F36" s="136"/>
    </row>
    <row r="37" spans="2:6" ht="15" thickBot="1" x14ac:dyDescent="0.35">
      <c r="B37" s="27" t="s">
        <v>214</v>
      </c>
      <c r="C37" s="87">
        <f>SUM(C33+C36)</f>
        <v>703946</v>
      </c>
      <c r="D37" s="88">
        <f>SUM(D33+D36)</f>
        <v>2892501</v>
      </c>
      <c r="E37" s="136"/>
      <c r="F37" s="136"/>
    </row>
    <row r="38" spans="2:6" ht="15" thickBot="1" x14ac:dyDescent="0.35">
      <c r="B38" s="24"/>
      <c r="D38" s="82"/>
      <c r="E38" s="136"/>
      <c r="F38" s="136"/>
    </row>
    <row r="39" spans="2:6" x14ac:dyDescent="0.3">
      <c r="B39" s="452" t="s">
        <v>300</v>
      </c>
      <c r="C39" s="453"/>
      <c r="D39" s="454"/>
      <c r="E39" s="136"/>
      <c r="F39" s="136"/>
    </row>
    <row r="40" spans="2:6" x14ac:dyDescent="0.3">
      <c r="B40" s="23" t="s">
        <v>301</v>
      </c>
      <c r="C40" s="25">
        <v>460416</v>
      </c>
      <c r="D40" s="85">
        <v>103743</v>
      </c>
      <c r="E40" s="136">
        <v>27</v>
      </c>
      <c r="F40" s="136">
        <v>27</v>
      </c>
    </row>
    <row r="41" spans="2:6" x14ac:dyDescent="0.3">
      <c r="B41" s="23" t="s">
        <v>302</v>
      </c>
      <c r="C41" s="25">
        <v>3581237</v>
      </c>
      <c r="D41" s="85">
        <v>2336370</v>
      </c>
      <c r="E41" s="136">
        <v>28</v>
      </c>
      <c r="F41" s="136">
        <v>28</v>
      </c>
    </row>
    <row r="42" spans="2:6" x14ac:dyDescent="0.3">
      <c r="B42" s="23" t="s">
        <v>303</v>
      </c>
      <c r="C42" s="84">
        <f>+C40+C41</f>
        <v>4041653</v>
      </c>
      <c r="D42" s="86">
        <f>+D40+D41</f>
        <v>2440113</v>
      </c>
      <c r="E42" s="136"/>
      <c r="F42" s="136"/>
    </row>
    <row r="43" spans="2:6" ht="15" thickBot="1" x14ac:dyDescent="0.35">
      <c r="B43" s="27" t="s">
        <v>304</v>
      </c>
      <c r="C43" s="87">
        <f>C37+C42</f>
        <v>4745599</v>
      </c>
      <c r="D43" s="88">
        <f>D37+D42</f>
        <v>5332614</v>
      </c>
      <c r="E43" s="136"/>
      <c r="F43" s="136"/>
    </row>
    <row r="44" spans="2:6" x14ac:dyDescent="0.3">
      <c r="B44" s="127" t="s">
        <v>263</v>
      </c>
      <c r="D44" s="82"/>
      <c r="E44" s="136"/>
      <c r="F44" s="136"/>
    </row>
    <row r="45" spans="2:6" x14ac:dyDescent="0.3">
      <c r="B45" s="127" t="s">
        <v>264</v>
      </c>
      <c r="D45" s="82"/>
      <c r="E45" s="136"/>
      <c r="F45" s="136"/>
    </row>
    <row r="46" spans="2:6" ht="15" thickBot="1" x14ac:dyDescent="0.35">
      <c r="B46" s="448"/>
      <c r="C46" s="448"/>
      <c r="D46" s="448"/>
      <c r="E46" s="136"/>
      <c r="F46" s="136"/>
    </row>
    <row r="47" spans="2:6" x14ac:dyDescent="0.3">
      <c r="B47" s="89" t="s">
        <v>305</v>
      </c>
      <c r="C47" s="90"/>
      <c r="D47" s="91"/>
      <c r="E47" s="136"/>
      <c r="F47" s="136"/>
    </row>
    <row r="48" spans="2:6" x14ac:dyDescent="0.3">
      <c r="B48" s="92" t="s">
        <v>306</v>
      </c>
      <c r="C48" s="93">
        <v>40391</v>
      </c>
      <c r="D48" s="94">
        <f>'TB Mapping '!E42</f>
        <v>40391</v>
      </c>
      <c r="E48" s="136" t="s">
        <v>126</v>
      </c>
      <c r="F48" s="136" t="s">
        <v>126</v>
      </c>
    </row>
    <row r="49" spans="2:6" x14ac:dyDescent="0.3">
      <c r="B49" s="92" t="s">
        <v>307</v>
      </c>
      <c r="C49" s="93">
        <v>30667</v>
      </c>
      <c r="D49" s="94">
        <f>-'TB Mapping '!E45</f>
        <v>33952</v>
      </c>
      <c r="E49" s="136" t="s">
        <v>128</v>
      </c>
      <c r="F49" s="136" t="s">
        <v>128</v>
      </c>
    </row>
    <row r="50" spans="2:6" ht="15" thickBot="1" x14ac:dyDescent="0.35">
      <c r="B50" s="97" t="s">
        <v>308</v>
      </c>
      <c r="C50" s="96">
        <f>+C48-C49</f>
        <v>9724</v>
      </c>
      <c r="D50" s="95">
        <f>+D48-D49</f>
        <v>6439</v>
      </c>
      <c r="E50" s="136"/>
      <c r="F50" s="136"/>
    </row>
    <row r="51" spans="2:6" x14ac:dyDescent="0.3">
      <c r="B51" s="370"/>
      <c r="C51" s="371"/>
      <c r="D51" s="372"/>
      <c r="E51" s="136"/>
      <c r="F51" s="136"/>
    </row>
    <row r="52" spans="2:6" ht="15" thickBot="1" x14ac:dyDescent="0.35">
      <c r="B52" s="31"/>
      <c r="C52" s="81"/>
      <c r="D52" s="83"/>
      <c r="E52" s="136"/>
      <c r="F52" s="136"/>
    </row>
    <row r="53" spans="2:6" x14ac:dyDescent="0.3">
      <c r="B53" s="247" t="s">
        <v>358</v>
      </c>
      <c r="C53" s="90"/>
      <c r="D53" s="91"/>
      <c r="E53" s="136"/>
      <c r="F53" s="136"/>
    </row>
    <row r="54" spans="2:6" x14ac:dyDescent="0.3">
      <c r="B54" s="92" t="s">
        <v>373</v>
      </c>
      <c r="C54" s="93">
        <v>516436.07</v>
      </c>
      <c r="D54" s="248">
        <v>0</v>
      </c>
      <c r="E54" s="136">
        <v>1</v>
      </c>
      <c r="F54" s="136"/>
    </row>
    <row r="55" spans="2:6" x14ac:dyDescent="0.3">
      <c r="B55" s="92" t="s">
        <v>374</v>
      </c>
      <c r="C55" s="93">
        <v>79755.62</v>
      </c>
      <c r="D55" s="248">
        <v>0</v>
      </c>
      <c r="E55" s="136">
        <v>2</v>
      </c>
      <c r="F55" s="136"/>
    </row>
    <row r="56" spans="2:6" x14ac:dyDescent="0.3">
      <c r="B56" s="92" t="s">
        <v>375</v>
      </c>
      <c r="C56" s="93">
        <v>0</v>
      </c>
      <c r="D56" s="248">
        <v>0</v>
      </c>
      <c r="E56" s="136"/>
      <c r="F56" s="136"/>
    </row>
    <row r="57" spans="2:6" x14ac:dyDescent="0.3">
      <c r="B57" s="249" t="s">
        <v>376</v>
      </c>
      <c r="C57" s="93">
        <v>235234.64</v>
      </c>
      <c r="D57" s="250"/>
      <c r="E57" s="136">
        <v>1</v>
      </c>
      <c r="F57" s="136"/>
    </row>
    <row r="58" spans="2:6" x14ac:dyDescent="0.3">
      <c r="B58" s="32" t="s">
        <v>377</v>
      </c>
      <c r="C58" s="25">
        <v>1990834.67</v>
      </c>
      <c r="D58" s="85"/>
      <c r="E58" s="136">
        <v>2</v>
      </c>
      <c r="F58" s="136"/>
    </row>
    <row r="59" spans="2:6" x14ac:dyDescent="0.3">
      <c r="B59" s="32" t="s">
        <v>546</v>
      </c>
      <c r="C59" s="25">
        <v>0</v>
      </c>
      <c r="D59" s="85">
        <f>'TB Mapping '!E7</f>
        <v>1104428</v>
      </c>
      <c r="E59" s="136"/>
      <c r="F59" s="136">
        <v>1</v>
      </c>
    </row>
    <row r="60" spans="2:6" x14ac:dyDescent="0.3">
      <c r="B60" s="32" t="s">
        <v>378</v>
      </c>
      <c r="C60" s="25">
        <v>54001.73</v>
      </c>
      <c r="D60" s="85">
        <f>'TB Mapping '!E12</f>
        <v>10595</v>
      </c>
      <c r="E60" s="136">
        <v>1</v>
      </c>
      <c r="F60" s="136">
        <v>1</v>
      </c>
    </row>
    <row r="61" spans="2:6" x14ac:dyDescent="0.3">
      <c r="B61" s="32" t="s">
        <v>379</v>
      </c>
      <c r="C61" s="25">
        <v>120.27</v>
      </c>
      <c r="D61" s="85">
        <f>'TB Mapping '!E10</f>
        <v>101</v>
      </c>
      <c r="E61" s="136">
        <v>1</v>
      </c>
      <c r="F61" s="136">
        <v>1</v>
      </c>
    </row>
    <row r="62" spans="2:6" x14ac:dyDescent="0.3">
      <c r="B62" s="32" t="s">
        <v>380</v>
      </c>
      <c r="C62" s="25">
        <v>3800</v>
      </c>
      <c r="D62" s="85">
        <f>'TB Mapping '!E11</f>
        <v>3375</v>
      </c>
      <c r="E62" s="136">
        <v>1</v>
      </c>
      <c r="F62" s="136">
        <v>1</v>
      </c>
    </row>
    <row r="63" spans="2:6" ht="15" thickBot="1" x14ac:dyDescent="0.35">
      <c r="B63" s="232" t="s">
        <v>141</v>
      </c>
      <c r="C63" s="254">
        <f>SUM(C54:C62)</f>
        <v>2880183</v>
      </c>
      <c r="D63" s="373">
        <f>SUM(D54:D62)</f>
        <v>1118499</v>
      </c>
      <c r="E63" s="136"/>
      <c r="F63" s="136"/>
    </row>
    <row r="64" spans="2:6" x14ac:dyDescent="0.3">
      <c r="B64" s="24"/>
      <c r="C64" s="84"/>
      <c r="D64" s="25"/>
      <c r="E64" s="136"/>
      <c r="F64" s="136"/>
    </row>
    <row r="65" spans="2:6" ht="15" thickBot="1" x14ac:dyDescent="0.35">
      <c r="B65" s="24"/>
      <c r="D65" s="82"/>
      <c r="E65" s="136"/>
      <c r="F65" s="136"/>
    </row>
    <row r="66" spans="2:6" x14ac:dyDescent="0.3">
      <c r="B66" s="229" t="s">
        <v>365</v>
      </c>
      <c r="C66" s="252"/>
      <c r="D66" s="253"/>
      <c r="E66" s="136"/>
      <c r="F66" s="136"/>
    </row>
    <row r="67" spans="2:6" x14ac:dyDescent="0.3">
      <c r="B67" s="32" t="s">
        <v>381</v>
      </c>
      <c r="C67" s="25">
        <v>368045</v>
      </c>
      <c r="D67" s="85">
        <f>+'TB Mapping '!E48</f>
        <v>761747</v>
      </c>
      <c r="E67" s="136"/>
      <c r="F67" s="136"/>
    </row>
    <row r="68" spans="2:6" x14ac:dyDescent="0.3">
      <c r="B68" s="32" t="s">
        <v>382</v>
      </c>
      <c r="C68" s="25">
        <v>25155</v>
      </c>
      <c r="D68" s="85">
        <f>-'TB Mapping '!E49</f>
        <v>205183</v>
      </c>
      <c r="E68" s="136"/>
      <c r="F68" s="136"/>
    </row>
    <row r="69" spans="2:6" ht="15" thickBot="1" x14ac:dyDescent="0.35">
      <c r="B69" s="232" t="s">
        <v>365</v>
      </c>
      <c r="C69" s="254">
        <f>+C67-C68</f>
        <v>342890</v>
      </c>
      <c r="D69" s="373">
        <f>+D67-D68</f>
        <v>556564</v>
      </c>
      <c r="E69" s="136">
        <v>14</v>
      </c>
      <c r="F69" s="136">
        <v>14</v>
      </c>
    </row>
    <row r="70" spans="2:6" x14ac:dyDescent="0.3">
      <c r="B70" s="24"/>
      <c r="C70" s="84"/>
      <c r="D70" s="84"/>
      <c r="E70" s="136"/>
      <c r="F70" s="136"/>
    </row>
    <row r="71" spans="2:6" s="26" customFormat="1" x14ac:dyDescent="0.3">
      <c r="B71" s="24"/>
      <c r="C71" s="78"/>
      <c r="D71" s="78"/>
      <c r="E71" s="136"/>
      <c r="F71" s="136"/>
    </row>
    <row r="72" spans="2:6" x14ac:dyDescent="0.3">
      <c r="B72" s="24"/>
      <c r="D72" s="82"/>
      <c r="E72" s="136"/>
      <c r="F72" s="136"/>
    </row>
    <row r="73" spans="2:6" x14ac:dyDescent="0.3">
      <c r="B73" s="24"/>
      <c r="D73" s="82"/>
      <c r="E73" s="136"/>
      <c r="F73" s="136"/>
    </row>
    <row r="74" spans="2:6" x14ac:dyDescent="0.3">
      <c r="B74" s="24"/>
      <c r="D74" s="82"/>
      <c r="E74" s="136"/>
      <c r="F74" s="136"/>
    </row>
    <row r="75" spans="2:6" x14ac:dyDescent="0.3">
      <c r="B75" s="24"/>
      <c r="D75" s="82"/>
      <c r="E75" s="136"/>
      <c r="F75" s="136"/>
    </row>
    <row r="76" spans="2:6" x14ac:dyDescent="0.3">
      <c r="B76" s="24"/>
      <c r="D76" s="82"/>
      <c r="E76" s="136"/>
      <c r="F76" s="136"/>
    </row>
    <row r="77" spans="2:6" x14ac:dyDescent="0.3">
      <c r="B77" s="24"/>
      <c r="D77" s="82"/>
      <c r="E77" s="136"/>
      <c r="F77" s="136"/>
    </row>
    <row r="78" spans="2:6" x14ac:dyDescent="0.3">
      <c r="B78" s="24"/>
      <c r="D78" s="82"/>
      <c r="E78" s="136"/>
      <c r="F78" s="136"/>
    </row>
    <row r="79" spans="2:6" x14ac:dyDescent="0.3">
      <c r="B79" s="24"/>
      <c r="D79" s="82"/>
      <c r="E79" s="136"/>
      <c r="F79" s="136"/>
    </row>
    <row r="80" spans="2:6" x14ac:dyDescent="0.3">
      <c r="B80" s="24"/>
      <c r="D80" s="82"/>
      <c r="E80" s="136"/>
      <c r="F80" s="136"/>
    </row>
    <row r="81" spans="2:6" x14ac:dyDescent="0.3">
      <c r="B81" s="24"/>
      <c r="D81" s="82"/>
      <c r="E81" s="136"/>
      <c r="F81" s="136"/>
    </row>
    <row r="82" spans="2:6" x14ac:dyDescent="0.3">
      <c r="B82" s="24"/>
      <c r="D82" s="82"/>
      <c r="E82" s="136"/>
      <c r="F82" s="136"/>
    </row>
    <row r="83" spans="2:6" x14ac:dyDescent="0.3">
      <c r="B83" s="24"/>
      <c r="D83" s="82"/>
      <c r="E83" s="136"/>
      <c r="F83" s="136"/>
    </row>
    <row r="84" spans="2:6" x14ac:dyDescent="0.3">
      <c r="B84" s="24"/>
      <c r="D84" s="82"/>
      <c r="E84" s="136"/>
      <c r="F84" s="136"/>
    </row>
    <row r="85" spans="2:6" x14ac:dyDescent="0.3">
      <c r="B85" s="24"/>
      <c r="D85" s="82"/>
      <c r="E85" s="136"/>
      <c r="F85" s="136"/>
    </row>
    <row r="86" spans="2:6" x14ac:dyDescent="0.3">
      <c r="B86" s="24"/>
      <c r="D86" s="82"/>
      <c r="E86" s="136"/>
      <c r="F86" s="136"/>
    </row>
    <row r="87" spans="2:6" x14ac:dyDescent="0.3">
      <c r="B87" s="24"/>
      <c r="D87" s="82"/>
      <c r="E87" s="136"/>
      <c r="F87" s="136"/>
    </row>
    <row r="88" spans="2:6" x14ac:dyDescent="0.3">
      <c r="B88" s="24"/>
      <c r="D88" s="82"/>
      <c r="E88" s="136"/>
      <c r="F88" s="136"/>
    </row>
    <row r="89" spans="2:6" x14ac:dyDescent="0.3">
      <c r="B89" s="24"/>
      <c r="D89" s="82"/>
      <c r="E89" s="136"/>
      <c r="F89" s="136"/>
    </row>
    <row r="90" spans="2:6" x14ac:dyDescent="0.3">
      <c r="B90" s="24"/>
      <c r="D90" s="82"/>
      <c r="E90" s="136"/>
      <c r="F90" s="136"/>
    </row>
    <row r="91" spans="2:6" x14ac:dyDescent="0.3">
      <c r="B91" s="24"/>
      <c r="D91" s="82"/>
      <c r="E91" s="136"/>
      <c r="F91" s="136"/>
    </row>
    <row r="92" spans="2:6" x14ac:dyDescent="0.3">
      <c r="B92" s="24"/>
      <c r="D92" s="82"/>
      <c r="E92" s="136"/>
      <c r="F92" s="136"/>
    </row>
    <row r="93" spans="2:6" x14ac:dyDescent="0.3">
      <c r="B93" s="24"/>
      <c r="D93" s="82"/>
      <c r="E93" s="136"/>
      <c r="F93" s="136"/>
    </row>
    <row r="94" spans="2:6" x14ac:dyDescent="0.3">
      <c r="B94" s="24"/>
      <c r="D94" s="82"/>
      <c r="E94" s="136"/>
      <c r="F94" s="136"/>
    </row>
    <row r="95" spans="2:6" x14ac:dyDescent="0.3">
      <c r="B95" s="24"/>
      <c r="D95" s="82"/>
      <c r="E95" s="136"/>
      <c r="F95" s="136"/>
    </row>
    <row r="96" spans="2:6" x14ac:dyDescent="0.3">
      <c r="B96" s="24"/>
      <c r="D96" s="82"/>
      <c r="E96" s="136"/>
      <c r="F96" s="136"/>
    </row>
    <row r="97" spans="2:6" s="26" customFormat="1" x14ac:dyDescent="0.3">
      <c r="B97" s="24"/>
      <c r="C97" s="78"/>
      <c r="D97" s="78"/>
      <c r="E97" s="136"/>
      <c r="F97" s="136"/>
    </row>
    <row r="98" spans="2:6" x14ac:dyDescent="0.3">
      <c r="E98" s="136"/>
      <c r="F98" s="136"/>
    </row>
    <row r="99" spans="2:6" x14ac:dyDescent="0.3">
      <c r="E99" s="136"/>
      <c r="F99" s="136"/>
    </row>
    <row r="100" spans="2:6" x14ac:dyDescent="0.3">
      <c r="E100" s="136"/>
      <c r="F100" s="136"/>
    </row>
    <row r="101" spans="2:6" x14ac:dyDescent="0.3">
      <c r="E101" s="136"/>
      <c r="F101" s="136"/>
    </row>
    <row r="102" spans="2:6" x14ac:dyDescent="0.3">
      <c r="E102" s="136"/>
      <c r="F102" s="136"/>
    </row>
    <row r="103" spans="2:6" x14ac:dyDescent="0.3">
      <c r="E103" s="136"/>
      <c r="F103" s="136"/>
    </row>
    <row r="104" spans="2:6" x14ac:dyDescent="0.3">
      <c r="E104" s="136"/>
      <c r="F104" s="136"/>
    </row>
    <row r="105" spans="2:6" x14ac:dyDescent="0.3">
      <c r="E105" s="136"/>
      <c r="F105" s="136"/>
    </row>
    <row r="106" spans="2:6" x14ac:dyDescent="0.3">
      <c r="E106" s="136"/>
      <c r="F106" s="136"/>
    </row>
    <row r="107" spans="2:6" x14ac:dyDescent="0.3">
      <c r="E107" s="136"/>
      <c r="F107" s="136"/>
    </row>
    <row r="108" spans="2:6" x14ac:dyDescent="0.3">
      <c r="E108" s="136"/>
      <c r="F108" s="136"/>
    </row>
    <row r="109" spans="2:6" x14ac:dyDescent="0.3">
      <c r="E109" s="136"/>
      <c r="F109" s="136"/>
    </row>
    <row r="110" spans="2:6" x14ac:dyDescent="0.3">
      <c r="E110" s="136"/>
      <c r="F110" s="136"/>
    </row>
  </sheetData>
  <mergeCells count="4">
    <mergeCell ref="B46:D46"/>
    <mergeCell ref="B2:D2"/>
    <mergeCell ref="B25:D25"/>
    <mergeCell ref="B39:D39"/>
  </mergeCells>
  <dataValidations count="2">
    <dataValidation type="list" allowBlank="1" showInputMessage="1" showErrorMessage="1" prompt="Line No (Select from Drag Down)" sqref="E6:F51" xr:uid="{00000000-0002-0000-0C00-000000000000}">
      <formula1>"1, 2, 3, 4, 5, 6, 7, 8, 9, 10a, 10b, 11, 12, 13, 14, 15, 16, 17, 18, 19, 20, 21, 22, 23, 24, 25, 26, 27, 28, 29, 30, 31, 32, 33, Refer to below Working"</formula1>
    </dataValidation>
    <dataValidation type="list" allowBlank="1" showInputMessage="1" showErrorMessage="1" prompt="Line No (Select from Drag Down)" sqref="E52:F110" xr:uid="{00000000-0002-0000-0C00-000001000000}">
      <formula1>"1, 2, 3, 4, 5, 6, 7, 8, 9, 10a, 10b, 11, 12, 13, 14, 15, 16, 17, 18, 19, 20, 21, 22, 23, 24, 25, 26, 27, 28, 29, 30, 31, 32, 33"</formula1>
    </dataValidation>
  </dataValidations>
  <hyperlinks>
    <hyperlink ref="E6" location="SOFP!B53" display="Refer to Below working" xr:uid="{00000000-0004-0000-0C00-000000000000}"/>
    <hyperlink ref="E20" location="SOFP!B66" display="Refer to below Working" xr:uid="{00000000-0004-0000-0C00-000001000000}"/>
    <hyperlink ref="F19" location="SOFP!B47" display="Refer to below Working" xr:uid="{00000000-0004-0000-0C00-000002000000}"/>
    <hyperlink ref="F20" location="SOFP!B66" display="Refer to below Working" xr:uid="{00000000-0004-0000-0C00-000003000000}"/>
    <hyperlink ref="E19" location="SOFP!B47" display="Refer to below Working" xr:uid="{00000000-0004-0000-0C00-000004000000}"/>
    <hyperlink ref="F6" location="SOFP!B53" display="Refer to below Working" xr:uid="{00000000-0004-0000-0C00-000005000000}"/>
  </hyperlinks>
  <pageMargins left="0.7" right="0.7" top="0.75" bottom="0.75" header="0.3" footer="0.3"/>
  <pageSetup paperSize="9" orientation="portrait" r:id="rId1"/>
  <headerFooter>
    <oddHeader>&amp;L&amp;"Arial,Bold"&amp;8 5:05 PM
&amp;"Arial,Bold"&amp;8 05/08/23
&amp;"Arial,Bold"&amp;8 Accrual Basis&amp;C&amp;"Arial,Bold"&amp;12 El Centro de Libertad/The Freedom Center, Inc.
&amp;"Arial,Bold"&amp;14 Balance Sheet
&amp;"Arial,Bold"&amp;10 As of June 30, 2022</oddHeader>
    <oddFooter>&amp;R&amp;"Arial,Bold"&amp;8 Page &amp;P of &amp;N</oddFooter>
  </headerFooter>
  <customProperties>
    <customPr name="OrphanNamesChecked" r:id="rId2"/>
  </customProperties>
  <drawing r:id="rId3"/>
  <legacyDrawing r:id="rId4"/>
  <controls>
    <mc:AlternateContent xmlns:mc="http://schemas.openxmlformats.org/markup-compatibility/2006">
      <mc:Choice Requires="x14">
        <control shapeId="27650" r:id="rId5" name="HEADER">
          <controlPr defaultSize="0" autoLin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1</xdr:row>
                <xdr:rowOff>30480</xdr:rowOff>
              </to>
            </anchor>
          </controlPr>
        </control>
      </mc:Choice>
      <mc:Fallback>
        <control shapeId="27650" r:id="rId5" name="HEADER"/>
      </mc:Fallback>
    </mc:AlternateContent>
    <mc:AlternateContent xmlns:mc="http://schemas.openxmlformats.org/markup-compatibility/2006">
      <mc:Choice Requires="x14">
        <control shapeId="27649" r:id="rId7" name="FILTER">
          <controlPr defaultSize="0" autoLine="0" r:id="rId8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1</xdr:row>
                <xdr:rowOff>30480</xdr:rowOff>
              </to>
            </anchor>
          </controlPr>
        </control>
      </mc:Choice>
      <mc:Fallback>
        <control shapeId="27649" r:id="rId7" name="FILTER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646A0FCC7E0418BFD3DC8EEE910B6" ma:contentTypeVersion="4" ma:contentTypeDescription="Create a new document." ma:contentTypeScope="" ma:versionID="e6fb6f25f8968ef0bc6023ba03d4d4d1">
  <xsd:schema xmlns:xsd="http://www.w3.org/2001/XMLSchema" xmlns:xs="http://www.w3.org/2001/XMLSchema" xmlns:p="http://schemas.microsoft.com/office/2006/metadata/properties" xmlns:ns2="18ff8b72-2164-4582-97bf-3f46888977d4" targetNamespace="http://schemas.microsoft.com/office/2006/metadata/properties" ma:root="true" ma:fieldsID="67e803a3124f8d69df581fce3fecf6ec" ns2:_="">
    <xsd:import namespace="18ff8b72-2164-4582-97bf-3f4688897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f8b72-2164-4582-97bf-3f46888977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6C376-774A-46D3-B689-5F0C1C14D1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5FFBF-62C9-4CB4-B4AD-3BC4FAB8A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f8b72-2164-4582-97bf-3f4688897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Review-Checkpoints</vt:lpstr>
      <vt:lpstr>Part VIII - Revenue</vt:lpstr>
      <vt:lpstr>Part IX - Expenses</vt:lpstr>
      <vt:lpstr>Part X - Balance Sheet</vt:lpstr>
      <vt:lpstr>Part XI - Net Asset Recon.</vt:lpstr>
      <vt:lpstr>Queries</vt:lpstr>
      <vt:lpstr>TB Mapping </vt:lpstr>
      <vt:lpstr>Function Exp</vt:lpstr>
      <vt:lpstr>SOR</vt:lpstr>
      <vt:lpstr>SOFE</vt:lpstr>
      <vt:lpstr>Compensation</vt:lpstr>
      <vt:lpstr>CA Rollforward</vt:lpstr>
      <vt:lpstr>SOFP</vt:lpstr>
      <vt:lpstr>'Part X - Balance Sheet'!Print_Area</vt:lpstr>
      <vt:lpstr>SOFP!Print_Titles</vt:lpstr>
      <vt:lpstr>SOR!Print_Titles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2025-07-09T09:22:37Z</dcterms:modified>
  <cp:category/>
  <cp:contentStatus/>
</cp:coreProperties>
</file>