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 codeName="ThisWorkbook" defaultThemeVersion="124226"/>
  <xr:revisionPtr revIDLastSave="0" documentId="13_ncr:1_{60F1ECCA-A156-4D2F-84DE-8F1EAD2C57EE}" xr6:coauthVersionLast="47" xr6:coauthVersionMax="47" xr10:uidLastSave="{00000000-0000-0000-0000-000000000000}"/>
  <bookViews>
    <workbookView xWindow="28680" yWindow="-120" windowWidth="29040" windowHeight="15720" firstSheet="3" activeTab="7" xr2:uid="{00000000-000D-0000-FFFF-FFFF00000000}"/>
  </bookViews>
  <sheets>
    <sheet name="Review-Checkpoints" sheetId="38" r:id="rId1"/>
    <sheet name="Part VIII - Revenue" sheetId="1" r:id="rId2"/>
    <sheet name="Part IX - Expenses" sheetId="2" r:id="rId3"/>
    <sheet name="Part X - Balance Sheet" sheetId="3" r:id="rId4"/>
    <sheet name="Part XI - Net Asset Recon." sheetId="4" r:id="rId5"/>
    <sheet name="Queries" sheetId="32" r:id="rId6"/>
    <sheet name="TB Mapping" sheetId="33" r:id="rId7"/>
    <sheet name="SOR" sheetId="26" r:id="rId8"/>
    <sheet name="SOFE" sheetId="31" r:id="rId9"/>
    <sheet name="Compensation" sheetId="30" r:id="rId10"/>
    <sheet name="CA Rollforward" sheetId="37" r:id="rId11"/>
    <sheet name="SOFP" sheetId="27" r:id="rId12"/>
  </sheets>
  <definedNames>
    <definedName name="_xlnm._FilterDatabase" localSheetId="8" hidden="1">SOFE!$A$3:$J$22</definedName>
    <definedName name="_xlnm._FilterDatabase" localSheetId="11" hidden="1">SOFP!$B$2:$F$88</definedName>
    <definedName name="_xlnm._FilterDatabase" localSheetId="7" hidden="1">SOR!$A$3:$B$98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3">'Part X - Balance Sheet'!$A$1:$E$42</definedName>
    <definedName name="_xlnm.Print_Titles" localSheetId="11">SOFP!$1:$2</definedName>
    <definedName name="_xlnm.Print_Titles" localSheetId="7">SOR!$3:$3</definedName>
    <definedName name="QB_COLUMN_29" localSheetId="7" hidden="1">SOR!#REF!</definedName>
    <definedName name="QB_COLUMN_59200" localSheetId="11" hidden="1">SOFP!$D$2</definedName>
    <definedName name="QB_COLUMN_60210" localSheetId="11" hidden="1">SOFP!#REF!</definedName>
    <definedName name="QB_DATA_0" localSheetId="11" hidden="1">SOFP!$4:$4,SOFP!$5:$5,SOFP!$6:$6,SOFP!$7:$7,SOFP!$8:$8,SOFP!#REF!,SOFP!$13:$13,SOFP!$14:$14,SOFP!$21:$21,SOFP!$22:$22,SOFP!$25:$25,SOFP!$29:$29,SOFP!$30:$30,SOFP!$31:$31,SOFP!$32:$32,SOFP!$33:$33</definedName>
    <definedName name="QB_DATA_0" localSheetId="7" hidden="1">SOR!$17:$17,SOR!$18:$18,SOR!$19:$19,SOR!$20:$20,SOR!$22:$22,SOR!$25:$25,SOR!$28:$28,SOR!$29:$29,SOR!$33:$33,SOR!$40:$40,SOR!$42:$42,SOR!$43:$43,SOR!$44:$44,SOR!$45:$45,SOR!$46:$46,SOR!$47:$47</definedName>
    <definedName name="QB_DATA_1" localSheetId="11" hidden="1">SOFP!$34:$34,SOFP!$35:$35,SOFP!$37:$37,SOFP!$39:$39,SOFP!$40:$40,SOFP!$43:$43,SOFP!$44:$44,SOFP!$46:$46,SOFP!$47:$47,SOFP!$50:$50,SOFP!$51:$51,SOFP!$52:$52,SOFP!$54:$54,SOFP!$55:$55,SOFP!$63:$63,SOFP!$66:$66</definedName>
    <definedName name="QB_DATA_1" localSheetId="7" hidden="1">SOR!$51:$51,SOR!$52:$52,SOR!$53:$53,SOR!$54:$54,SOR!$59:$59,SOR!$60:$60,SOR!$61:$61,SOR!$62:$62,SOR!$63:$63,SOR!$64:$64,SOR!$65:$65,SOR!$66:$66,SOR!$67:$67,SOR!$68:$68,SOR!$71:$71,SOR!$72:$72</definedName>
    <definedName name="QB_DATA_2" localSheetId="11" hidden="1">SOFP!$69:$69,SOFP!$70:$70,SOFP!$71:$71,SOFP!$72:$72,SOFP!$73:$73,SOFP!$74:$74,SOFP!$75:$75,SOFP!$76:$76,SOFP!$77:$77,SOFP!$82:$82,SOFP!$83:$83,SOFP!$84:$84,SOFP!$85:$85,SOFP!$86:$86</definedName>
    <definedName name="QB_DATA_2" localSheetId="7" hidden="1">SOR!$73:$73,SOR!$76:$76,SOR!$77:$77,SOR!$78:$78,SOR!$79:$79,SOR!$80:$80,SOR!$81:$81,SOR!$82:$82,SOR!$83:$83,SOR!$84:$84,SOR!$87:$87,SOR!$88:$88,SOR!$91:$91,SOR!$92:$92,SOR!$93:$93,SOR!$94:$94</definedName>
    <definedName name="QB_FORMULA_0" localSheetId="11" hidden="1">SOFP!$D$9,SOFP!#REF!,SOFP!$D$15,SOFP!$D$39,SOFP!$D$16,SOFP!$D$40,SOFP!#REF!,SOFP!#REF!,SOFP!$D$17,SOFP!#REF!,SOFP!$D$23,SOFP!#REF!,SOFP!$D$26,SOFP!#REF!,SOFP!#REF!,SOFP!#REF!</definedName>
    <definedName name="QB_FORMULA_0" localSheetId="7" hidden="1">SOR!#REF!,SOR!#REF!,SOR!#REF!,SOR!#REF!,SOR!#REF!,SOR!#REF!,SOR!#REF!,SOR!#REF!,SOR!#REF!,SOR!#REF!,SOR!#REF!,SOR!#REF!,SOR!#REF!,SOR!#REF!,SOR!#REF!,SOR!#REF!</definedName>
    <definedName name="QB_FORMULA_1" localSheetId="11" hidden="1">SOFP!$D$41,SOFP!#REF!,SOFP!$D$45,SOFP!#REF!,SOFP!$D$48,SOFP!#REF!,SOFP!$D$56,SOFP!#REF!,SOFP!$D$57,SOFP!#REF!,SOFP!$D$58,SOFP!#REF!,SOFP!$D$64,SOFP!#REF!,SOFP!$D$67,SOFP!#REF!</definedName>
    <definedName name="QB_FORMULA_1" localSheetId="7" hidden="1">SOR!#REF!,SOR!#REF!,SOR!#REF!,SOR!#REF!,SOR!#REF!,SOR!#REF!</definedName>
    <definedName name="QB_FORMULA_2" localSheetId="11" hidden="1">SOFP!$D$78,SOFP!#REF!,SOFP!$D$79,SOFP!#REF!,SOFP!$D$80,SOFP!#REF!,SOFP!$D$87,SOFP!#REF!,SOFP!$D$88,SOFP!#REF!</definedName>
    <definedName name="QB_ROW_1" localSheetId="11" hidden="1">SOFP!#REF!</definedName>
    <definedName name="QB_ROW_10031" localSheetId="11" hidden="1">SOFP!#REF!</definedName>
    <definedName name="QB_ROW_1011" localSheetId="11" hidden="1">SOFP!#REF!</definedName>
    <definedName name="QB_ROW_10331" localSheetId="11" hidden="1">SOFP!#REF!</definedName>
    <definedName name="QB_ROW_108220" localSheetId="11" hidden="1">SOFP!#REF!</definedName>
    <definedName name="QB_ROW_109230" localSheetId="11" hidden="1">SOFP!#REF!</definedName>
    <definedName name="QB_ROW_11031" localSheetId="11" hidden="1">SOFP!#REF!</definedName>
    <definedName name="QB_ROW_113020" localSheetId="11" hidden="1">SOFP!#REF!</definedName>
    <definedName name="QB_ROW_113230" localSheetId="11" hidden="1">SOFP!#REF!</definedName>
    <definedName name="QB_ROW_11331" localSheetId="11" hidden="1">SOFP!#REF!</definedName>
    <definedName name="QB_ROW_113320" localSheetId="11" hidden="1">SOFP!#REF!</definedName>
    <definedName name="QB_ROW_12031" localSheetId="11" hidden="1">SOFP!#REF!</definedName>
    <definedName name="QB_ROW_123220" localSheetId="11" hidden="1">SOFP!#REF!</definedName>
    <definedName name="QB_ROW_12331" localSheetId="11" hidden="1">SOFP!#REF!</definedName>
    <definedName name="QB_ROW_1311" localSheetId="11" hidden="1">SOFP!#REF!</definedName>
    <definedName name="QB_ROW_137240" localSheetId="11" hidden="1">SOFP!#REF!</definedName>
    <definedName name="QB_ROW_14011" localSheetId="11" hidden="1">SOFP!#REF!</definedName>
    <definedName name="QB_ROW_14311" localSheetId="11" hidden="1">SOFP!#REF!</definedName>
    <definedName name="QB_ROW_17221" localSheetId="11" hidden="1">SOFP!#REF!</definedName>
    <definedName name="QB_ROW_180250" localSheetId="11" hidden="1">SOFP!#REF!</definedName>
    <definedName name="QB_ROW_18301" localSheetId="7" hidden="1">SOR!#REF!</definedName>
    <definedName name="QB_ROW_20022" localSheetId="7" hidden="1">SOR!#REF!</definedName>
    <definedName name="QB_ROW_2021" localSheetId="11" hidden="1">SOFP!#REF!</definedName>
    <definedName name="QB_ROW_20322" localSheetId="7" hidden="1">SOR!#REF!</definedName>
    <definedName name="QB_ROW_204240" localSheetId="11" hidden="1">SOFP!#REF!</definedName>
    <definedName name="QB_ROW_206230" localSheetId="11" hidden="1">SOFP!#REF!</definedName>
    <definedName name="QB_ROW_207230" localSheetId="11" hidden="1">SOFP!#REF!</definedName>
    <definedName name="QB_ROW_209020" localSheetId="11" hidden="1">SOFP!#REF!</definedName>
    <definedName name="QB_ROW_209230" localSheetId="11" hidden="1">SOFP!#REF!</definedName>
    <definedName name="QB_ROW_209320" localSheetId="11" hidden="1">SOFP!#REF!</definedName>
    <definedName name="QB_ROW_21022" localSheetId="7" hidden="1">SOR!#REF!</definedName>
    <definedName name="QB_ROW_211230" localSheetId="11" hidden="1">SOFP!#REF!</definedName>
    <definedName name="QB_ROW_21322" localSheetId="7" hidden="1">SOR!#REF!</definedName>
    <definedName name="QB_ROW_217220" localSheetId="11" hidden="1">SOFP!#REF!</definedName>
    <definedName name="QB_ROW_2220" localSheetId="11" hidden="1">SOFP!#REF!</definedName>
    <definedName name="QB_ROW_231250" localSheetId="11" hidden="1">SOFP!#REF!</definedName>
    <definedName name="QB_ROW_2321" localSheetId="11" hidden="1">SOFP!#REF!</definedName>
    <definedName name="QB_ROW_282220" localSheetId="11" hidden="1">SOFP!#REF!</definedName>
    <definedName name="QB_ROW_283220" localSheetId="11" hidden="1">SOFP!#REF!</definedName>
    <definedName name="QB_ROW_290220" localSheetId="11" hidden="1">SOFP!#REF!</definedName>
    <definedName name="QB_ROW_291220" localSheetId="11" hidden="1">SOFP!#REF!</definedName>
    <definedName name="QB_ROW_292220" localSheetId="11" hidden="1">SOFP!#REF!</definedName>
    <definedName name="QB_ROW_295220" localSheetId="11" hidden="1">SOFP!#REF!</definedName>
    <definedName name="QB_ROW_298240" localSheetId="11" hidden="1">SOFP!#REF!</definedName>
    <definedName name="QB_ROW_301" localSheetId="11" hidden="1">SOFP!#REF!</definedName>
    <definedName name="QB_ROW_3021" localSheetId="11" hidden="1">SOFP!#REF!</definedName>
    <definedName name="QB_ROW_3321" localSheetId="11" hidden="1">SOFP!#REF!</definedName>
    <definedName name="QB_ROW_33240" localSheetId="11" hidden="1">SOFP!#REF!</definedName>
    <definedName name="QB_ROW_333240" localSheetId="11" hidden="1">SOFP!#REF!</definedName>
    <definedName name="QB_ROW_345030" localSheetId="7" hidden="1">SOR!#REF!</definedName>
    <definedName name="QB_ROW_345330" localSheetId="7" hidden="1">SOR!#REF!</definedName>
    <definedName name="QB_ROW_346040" localSheetId="7" hidden="1">SOR!#REF!</definedName>
    <definedName name="QB_ROW_346340" localSheetId="7" hidden="1">SOR!#REF!</definedName>
    <definedName name="QB_ROW_347250" localSheetId="7" hidden="1">SOR!#REF!</definedName>
    <definedName name="QB_ROW_354040" localSheetId="7" hidden="1">SOR!#REF!</definedName>
    <definedName name="QB_ROW_354340" localSheetId="7" hidden="1">SOR!#REF!</definedName>
    <definedName name="QB_ROW_355250" localSheetId="7" hidden="1">SOR!#REF!</definedName>
    <definedName name="QB_ROW_356350" localSheetId="7" hidden="1">SOR!#REF!</definedName>
    <definedName name="QB_ROW_357250" localSheetId="7" hidden="1">SOR!#REF!</definedName>
    <definedName name="QB_ROW_358030" localSheetId="7" hidden="1">SOR!#REF!</definedName>
    <definedName name="QB_ROW_358330" localSheetId="7" hidden="1">SOR!#REF!</definedName>
    <definedName name="QB_ROW_359040" localSheetId="7" hidden="1">SOR!#REF!</definedName>
    <definedName name="QB_ROW_359340" localSheetId="7" hidden="1">SOR!#REF!</definedName>
    <definedName name="QB_ROW_362250" localSheetId="7" hidden="1">SOR!#REF!</definedName>
    <definedName name="QB_ROW_363040" localSheetId="7" hidden="1">SOR!#REF!</definedName>
    <definedName name="QB_ROW_363340" localSheetId="7" hidden="1">SOR!#REF!</definedName>
    <definedName name="QB_ROW_364250" localSheetId="7" hidden="1">SOR!#REF!</definedName>
    <definedName name="QB_ROW_365040" localSheetId="7" hidden="1">SOR!#REF!</definedName>
    <definedName name="QB_ROW_365340" localSheetId="7" hidden="1">SOR!#REF!</definedName>
    <definedName name="QB_ROW_366250" localSheetId="7" hidden="1">SOR!#REF!</definedName>
    <definedName name="QB_ROW_367250" localSheetId="7" hidden="1">SOR!#REF!</definedName>
    <definedName name="QB_ROW_368030" localSheetId="7" hidden="1">SOR!#REF!</definedName>
    <definedName name="QB_ROW_368330" localSheetId="7" hidden="1">SOR!#REF!</definedName>
    <definedName name="QB_ROW_369240" localSheetId="7" hidden="1">SOR!#REF!</definedName>
    <definedName name="QB_ROW_370030" localSheetId="7" hidden="1">SOR!#REF!</definedName>
    <definedName name="QB_ROW_370330" localSheetId="7" hidden="1">SOR!#REF!</definedName>
    <definedName name="QB_ROW_371040" localSheetId="7" hidden="1">SOR!#REF!</definedName>
    <definedName name="QB_ROW_371340" localSheetId="7" hidden="1">SOR!#REF!</definedName>
    <definedName name="QB_ROW_373350" localSheetId="7" hidden="1">SOR!#REF!</definedName>
    <definedName name="QB_ROW_374260" localSheetId="7" hidden="1">SOR!$A$46</definedName>
    <definedName name="QB_ROW_375050" localSheetId="7" hidden="1">SOR!#REF!</definedName>
    <definedName name="QB_ROW_375350" localSheetId="7" hidden="1">SOR!#REF!</definedName>
    <definedName name="QB_ROW_376260" localSheetId="7" hidden="1">SOR!$A$47</definedName>
    <definedName name="QB_ROW_377040" localSheetId="7" hidden="1">SOR!#REF!</definedName>
    <definedName name="QB_ROW_377340" localSheetId="7" hidden="1">SOR!#REF!</definedName>
    <definedName name="QB_ROW_379250" localSheetId="7" hidden="1">SOR!#REF!</definedName>
    <definedName name="QB_ROW_380030" localSheetId="7" hidden="1">SOR!#REF!</definedName>
    <definedName name="QB_ROW_380330" localSheetId="7" hidden="1">SOR!#REF!</definedName>
    <definedName name="QB_ROW_381040" localSheetId="7" hidden="1">SOR!#REF!</definedName>
    <definedName name="QB_ROW_381340" localSheetId="7" hidden="1">SOR!#REF!</definedName>
    <definedName name="QB_ROW_382250" localSheetId="7" hidden="1">SOR!#REF!</definedName>
    <definedName name="QB_ROW_383250" localSheetId="7" hidden="1">SOR!#REF!</definedName>
    <definedName name="QB_ROW_384250" localSheetId="7" hidden="1">SOR!#REF!</definedName>
    <definedName name="QB_ROW_385250" localSheetId="7" hidden="1">SOR!#REF!</definedName>
    <definedName name="QB_ROW_386250" localSheetId="7" hidden="1">SOR!#REF!</definedName>
    <definedName name="QB_ROW_387250" localSheetId="7" hidden="1">SOR!#REF!</definedName>
    <definedName name="QB_ROW_388250" localSheetId="7" hidden="1">SOR!#REF!</definedName>
    <definedName name="QB_ROW_389040" localSheetId="7" hidden="1">SOR!#REF!</definedName>
    <definedName name="QB_ROW_389340" localSheetId="7" hidden="1">SOR!#REF!</definedName>
    <definedName name="QB_ROW_390250" localSheetId="7" hidden="1">SOR!#REF!</definedName>
    <definedName name="QB_ROW_391250" localSheetId="7" hidden="1">SOR!#REF!</definedName>
    <definedName name="QB_ROW_392040" localSheetId="7" hidden="1">SOR!#REF!</definedName>
    <definedName name="QB_ROW_392340" localSheetId="7" hidden="1">SOR!#REF!</definedName>
    <definedName name="QB_ROW_393250" localSheetId="7" hidden="1">SOR!#REF!</definedName>
    <definedName name="QB_ROW_394250" localSheetId="7" hidden="1">SOR!#REF!</definedName>
    <definedName name="QB_ROW_395250" localSheetId="7" hidden="1">SOR!#REF!</definedName>
    <definedName name="QB_ROW_397250" localSheetId="7" hidden="1">SOR!#REF!</definedName>
    <definedName name="QB_ROW_398250" localSheetId="7" hidden="1">SOR!#REF!</definedName>
    <definedName name="QB_ROW_399250" localSheetId="7" hidden="1">SOR!#REF!</definedName>
    <definedName name="QB_ROW_400040" localSheetId="7" hidden="1">SOR!#REF!</definedName>
    <definedName name="QB_ROW_400340" localSheetId="7" hidden="1">SOR!#REF!</definedName>
    <definedName name="QB_ROW_401250" localSheetId="7" hidden="1">SOR!#REF!</definedName>
    <definedName name="QB_ROW_4021" localSheetId="11" hidden="1">SOFP!#REF!</definedName>
    <definedName name="QB_ROW_402250" localSheetId="7" hidden="1">SOR!#REF!</definedName>
    <definedName name="QB_ROW_403040" localSheetId="7" hidden="1">SOR!#REF!</definedName>
    <definedName name="QB_ROW_403340" localSheetId="7" hidden="1">SOR!#REF!</definedName>
    <definedName name="QB_ROW_404250" localSheetId="7" hidden="1">SOR!#REF!</definedName>
    <definedName name="QB_ROW_405250" localSheetId="7" hidden="1">SOR!#REF!</definedName>
    <definedName name="QB_ROW_406250" localSheetId="7" hidden="1">SOR!#REF!</definedName>
    <definedName name="QB_ROW_407250" localSheetId="7" hidden="1">SOR!#REF!</definedName>
    <definedName name="QB_ROW_408250" localSheetId="7" hidden="1">SOR!#REF!</definedName>
    <definedName name="QB_ROW_409260" localSheetId="7" hidden="1">SOR!$A$42</definedName>
    <definedName name="QB_ROW_410260" localSheetId="7" hidden="1">SOR!$A$43</definedName>
    <definedName name="QB_ROW_411260" localSheetId="7" hidden="1">SOR!$A$44</definedName>
    <definedName name="QB_ROW_413030" localSheetId="11" hidden="1">SOFP!#REF!</definedName>
    <definedName name="QB_ROW_413330" localSheetId="11" hidden="1">SOFP!#REF!</definedName>
    <definedName name="QB_ROW_414040" localSheetId="11" hidden="1">SOFP!#REF!</definedName>
    <definedName name="QB_ROW_414340" localSheetId="11" hidden="1">SOFP!#REF!</definedName>
    <definedName name="QB_ROW_415040" localSheetId="11" hidden="1">SOFP!#REF!</definedName>
    <definedName name="QB_ROW_415340" localSheetId="11" hidden="1">SOFP!#REF!</definedName>
    <definedName name="QB_ROW_416250" localSheetId="11" hidden="1">SOFP!#REF!</definedName>
    <definedName name="QB_ROW_417250" localSheetId="7" hidden="1">SOR!#REF!</definedName>
    <definedName name="QB_ROW_418250" localSheetId="7" hidden="1">SOR!#REF!</definedName>
    <definedName name="QB_ROW_419250" localSheetId="7" hidden="1">SOR!#REF!</definedName>
    <definedName name="QB_ROW_420250" localSheetId="7" hidden="1">SOR!#REF!</definedName>
    <definedName name="QB_ROW_421250" localSheetId="7" hidden="1">SOR!#REF!</definedName>
    <definedName name="QB_ROW_424260" localSheetId="7" hidden="1">SOR!$A$45</definedName>
    <definedName name="QB_ROW_425220" localSheetId="11" hidden="1">SOFP!#REF!</definedName>
    <definedName name="QB_ROW_426250" localSheetId="7" hidden="1">SOR!#REF!</definedName>
    <definedName name="QB_ROW_4321" localSheetId="11" hidden="1">SOFP!#REF!</definedName>
    <definedName name="QB_ROW_433250" localSheetId="7" hidden="1">SOR!#REF!</definedName>
    <definedName name="QB_ROW_438050" localSheetId="11" hidden="1">SOFP!#REF!</definedName>
    <definedName name="QB_ROW_438350" localSheetId="11" hidden="1">SOFP!#REF!</definedName>
    <definedName name="QB_ROW_439260" localSheetId="11" hidden="1">SOFP!$B$13</definedName>
    <definedName name="QB_ROW_440260" localSheetId="11" hidden="1">SOFP!$B$14</definedName>
    <definedName name="QB_ROW_443250" localSheetId="11" hidden="1">SOFP!#REF!</definedName>
    <definedName name="QB_ROW_448250" localSheetId="7" hidden="1">SOR!#REF!</definedName>
    <definedName name="QB_ROW_449250" localSheetId="7" hidden="1">SOR!#REF!</definedName>
    <definedName name="QB_ROW_452240" localSheetId="11" hidden="1">SOFP!#REF!</definedName>
    <definedName name="QB_ROW_455220" localSheetId="11" hidden="1">SOFP!#REF!</definedName>
    <definedName name="QB_ROW_456220" localSheetId="11" hidden="1">SOFP!#REF!</definedName>
    <definedName name="QB_ROW_460220" localSheetId="11" hidden="1">SOFP!#REF!</definedName>
    <definedName name="QB_ROW_468240" localSheetId="11" hidden="1">SOFP!#REF!</definedName>
    <definedName name="QB_ROW_469240" localSheetId="11" hidden="1">SOFP!#REF!</definedName>
    <definedName name="QB_ROW_470240" localSheetId="11" hidden="1">SOFP!#REF!</definedName>
    <definedName name="QB_ROW_471240" localSheetId="11" hidden="1">SOFP!#REF!</definedName>
    <definedName name="QB_ROW_472250" localSheetId="11" hidden="1">SOFP!#REF!</definedName>
    <definedName name="QB_ROW_5011" localSheetId="11" hidden="1">SOFP!#REF!</definedName>
    <definedName name="QB_ROW_52220" localSheetId="11" hidden="1">SOFP!#REF!</definedName>
    <definedName name="QB_ROW_5311" localSheetId="11" hidden="1">SOFP!#REF!</definedName>
    <definedName name="QB_ROW_6011" localSheetId="11" hidden="1">SOFP!#REF!</definedName>
    <definedName name="QB_ROW_61020" localSheetId="11" hidden="1">SOFP!#REF!</definedName>
    <definedName name="QB_ROW_61230" localSheetId="11" hidden="1">SOFP!#REF!</definedName>
    <definedName name="QB_ROW_61320" localSheetId="11" hidden="1">SOFP!#REF!</definedName>
    <definedName name="QB_ROW_6311" localSheetId="11" hidden="1">SOFP!#REF!</definedName>
    <definedName name="QB_ROW_69220" localSheetId="11" hidden="1">SOFP!#REF!</definedName>
    <definedName name="QB_ROW_7001" localSheetId="11" hidden="1">SOFP!#REF!</definedName>
    <definedName name="QB_ROW_72220" localSheetId="11" hidden="1">SOFP!#REF!</definedName>
    <definedName name="QB_ROW_7301" localSheetId="11" hidden="1">SOFP!#REF!</definedName>
    <definedName name="QB_ROW_79240" localSheetId="11" hidden="1">SOFP!#REF!</definedName>
    <definedName name="QB_ROW_8011" localSheetId="11" hidden="1">SOFP!#REF!</definedName>
    <definedName name="QB_ROW_8311" localSheetId="11" hidden="1">SOFP!#REF!</definedName>
    <definedName name="QB_ROW_84230" localSheetId="11" hidden="1">SOFP!#REF!</definedName>
    <definedName name="QB_ROW_86311" localSheetId="7" hidden="1">SOR!#REF!</definedName>
    <definedName name="QB_ROW_88250" localSheetId="11" hidden="1">SOFP!#REF!</definedName>
    <definedName name="QB_ROW_9021" localSheetId="11" hidden="1">SOFP!#REF!</definedName>
    <definedName name="QB_ROW_9321" localSheetId="11" hidden="1">SOFP!#REF!</definedName>
    <definedName name="QB_ROW_95230" localSheetId="11" hidden="1">SOFP!#REF!</definedName>
    <definedName name="QBCANSUPPORTUPDATE" localSheetId="11">TRUE</definedName>
    <definedName name="QBCANSUPPORTUPDATE" localSheetId="7">TRUE</definedName>
    <definedName name="QBCOMPANYFILENAME" localSheetId="11">"C:\ElCentroWorkingArchive\libertad.qbw"</definedName>
    <definedName name="QBCOMPANYFILENAME" localSheetId="7">"C:\ElCentroWorkingArchive\libertad.qbw"</definedName>
    <definedName name="QBENDDATE" localSheetId="11">20220630</definedName>
    <definedName name="QBENDDATE" localSheetId="7">20220630</definedName>
    <definedName name="QBHEADERSONSCREEN" localSheetId="11">FALSE</definedName>
    <definedName name="QBHEADERSONSCREEN" localSheetId="7">FALSE</definedName>
    <definedName name="QBMETADATASIZE" localSheetId="11">5924</definedName>
    <definedName name="QBMETADATASIZE" localSheetId="7">5924</definedName>
    <definedName name="QBPRESERVECOLOR" localSheetId="11">TRUE</definedName>
    <definedName name="QBPRESERVECOLOR" localSheetId="7">TRUE</definedName>
    <definedName name="QBPRESERVEFONT" localSheetId="11">TRUE</definedName>
    <definedName name="QBPRESERVEFONT" localSheetId="7">TRUE</definedName>
    <definedName name="QBPRESERVEROWHEIGHT" localSheetId="11">TRUE</definedName>
    <definedName name="QBPRESERVEROWHEIGHT" localSheetId="7">TRUE</definedName>
    <definedName name="QBPRESERVESPACE" localSheetId="11">FALSE</definedName>
    <definedName name="QBPRESERVESPACE" localSheetId="7">FALSE</definedName>
    <definedName name="QBREPORTCOLAXIS" localSheetId="11">8</definedName>
    <definedName name="QBREPORTCOLAXIS" localSheetId="7">0</definedName>
    <definedName name="QBREPORTCOMPANYID" localSheetId="11">"865a3afdace341f0871aaf9656bcdc8e"</definedName>
    <definedName name="QBREPORTCOMPANYID" localSheetId="7">"865a3afdace341f0871aaf9656bcdc8e"</definedName>
    <definedName name="QBREPORTCOMPARECOL_ANNUALBUDGET" localSheetId="11">FALSE</definedName>
    <definedName name="QBREPORTCOMPARECOL_ANNUALBUDGET" localSheetId="7">FALSE</definedName>
    <definedName name="QBREPORTCOMPARECOL_AVGCOGS" localSheetId="11">FALSE</definedName>
    <definedName name="QBREPORTCOMPARECOL_AVGCOGS" localSheetId="7">FALSE</definedName>
    <definedName name="QBREPORTCOMPARECOL_AVGPRICE" localSheetId="11">FALSE</definedName>
    <definedName name="QBREPORTCOMPARECOL_AVGPRICE" localSheetId="7">FALSE</definedName>
    <definedName name="QBREPORTCOMPARECOL_BUDDIFF" localSheetId="11">FALSE</definedName>
    <definedName name="QBREPORTCOMPARECOL_BUDDIFF" localSheetId="7">FALSE</definedName>
    <definedName name="QBREPORTCOMPARECOL_BUDGET" localSheetId="11">FALSE</definedName>
    <definedName name="QBREPORTCOMPARECOL_BUDGET" localSheetId="7">FALSE</definedName>
    <definedName name="QBREPORTCOMPARECOL_BUDPCT" localSheetId="11">FALSE</definedName>
    <definedName name="QBREPORTCOMPARECOL_BUDPCT" localSheetId="7">FALSE</definedName>
    <definedName name="QBREPORTCOMPARECOL_COGS" localSheetId="11">FALSE</definedName>
    <definedName name="QBREPORTCOMPARECOL_COGS" localSheetId="7">FALSE</definedName>
    <definedName name="QBREPORTCOMPARECOL_EXCLUDEAMOUNT" localSheetId="11">FALSE</definedName>
    <definedName name="QBREPORTCOMPARECOL_EXCLUDEAMOUNT" localSheetId="7">FALSE</definedName>
    <definedName name="QBREPORTCOMPARECOL_EXCLUDECURPERIOD" localSheetId="11">FALSE</definedName>
    <definedName name="QBREPORTCOMPARECOL_EXCLUDECURPERIOD" localSheetId="7">FALSE</definedName>
    <definedName name="QBREPORTCOMPARECOL_FORECAST" localSheetId="11">FALSE</definedName>
    <definedName name="QBREPORTCOMPARECOL_FORECAST" localSheetId="7">FALSE</definedName>
    <definedName name="QBREPORTCOMPARECOL_GROSSMARGIN" localSheetId="11">FALSE</definedName>
    <definedName name="QBREPORTCOMPARECOL_GROSSMARGIN" localSheetId="7">FALSE</definedName>
    <definedName name="QBREPORTCOMPARECOL_GROSSMARGINPCT" localSheetId="11">FALSE</definedName>
    <definedName name="QBREPORTCOMPARECOL_GROSSMARGINPCT" localSheetId="7">FALSE</definedName>
    <definedName name="QBREPORTCOMPARECOL_HOURS" localSheetId="11">FALSE</definedName>
    <definedName name="QBREPORTCOMPARECOL_HOURS" localSheetId="7">FALSE</definedName>
    <definedName name="QBREPORTCOMPARECOL_PCTCOL" localSheetId="11">FALSE</definedName>
    <definedName name="QBREPORTCOMPARECOL_PCTCOL" localSheetId="7">FALSE</definedName>
    <definedName name="QBREPORTCOMPARECOL_PCTEXPENSE" localSheetId="11">FALSE</definedName>
    <definedName name="QBREPORTCOMPARECOL_PCTEXPENSE" localSheetId="7">FALSE</definedName>
    <definedName name="QBREPORTCOMPARECOL_PCTINCOME" localSheetId="11">FALSE</definedName>
    <definedName name="QBREPORTCOMPARECOL_PCTINCOME" localSheetId="7">FALSE</definedName>
    <definedName name="QBREPORTCOMPARECOL_PCTOFSALES" localSheetId="11">FALSE</definedName>
    <definedName name="QBREPORTCOMPARECOL_PCTOFSALES" localSheetId="7">FALSE</definedName>
    <definedName name="QBREPORTCOMPARECOL_PCTROW" localSheetId="11">FALSE</definedName>
    <definedName name="QBREPORTCOMPARECOL_PCTROW" localSheetId="7">FALSE</definedName>
    <definedName name="QBREPORTCOMPARECOL_PPDIFF" localSheetId="11">FALSE</definedName>
    <definedName name="QBREPORTCOMPARECOL_PPDIFF" localSheetId="7">FALSE</definedName>
    <definedName name="QBREPORTCOMPARECOL_PPPCT" localSheetId="11">FALSE</definedName>
    <definedName name="QBREPORTCOMPARECOL_PPPCT" localSheetId="7">FALSE</definedName>
    <definedName name="QBREPORTCOMPARECOL_PREVPERIOD" localSheetId="11">TRUE</definedName>
    <definedName name="QBREPORTCOMPARECOL_PREVPERIOD" localSheetId="7">FALSE</definedName>
    <definedName name="QBREPORTCOMPARECOL_PREVYEAR" localSheetId="11">FALSE</definedName>
    <definedName name="QBREPORTCOMPARECOL_PREVYEAR" localSheetId="7">FALSE</definedName>
    <definedName name="QBREPORTCOMPARECOL_PYDIFF" localSheetId="11">FALSE</definedName>
    <definedName name="QBREPORTCOMPARECOL_PYDIFF" localSheetId="7">FALSE</definedName>
    <definedName name="QBREPORTCOMPARECOL_PYPCT" localSheetId="11">FALSE</definedName>
    <definedName name="QBREPORTCOMPARECOL_PYPCT" localSheetId="7">FALSE</definedName>
    <definedName name="QBREPORTCOMPARECOL_QTY" localSheetId="11">FALSE</definedName>
    <definedName name="QBREPORTCOMPARECOL_QTY" localSheetId="7">FALSE</definedName>
    <definedName name="QBREPORTCOMPARECOL_RATE" localSheetId="11">FALSE</definedName>
    <definedName name="QBREPORTCOMPARECOL_RATE" localSheetId="7">FALSE</definedName>
    <definedName name="QBREPORTCOMPARECOL_TRIPBILLEDMILES" localSheetId="11">FALSE</definedName>
    <definedName name="QBREPORTCOMPARECOL_TRIPBILLEDMILES" localSheetId="7">FALSE</definedName>
    <definedName name="QBREPORTCOMPARECOL_TRIPBILLINGAMOUNT" localSheetId="11">FALSE</definedName>
    <definedName name="QBREPORTCOMPARECOL_TRIPBILLINGAMOUNT" localSheetId="7">FALSE</definedName>
    <definedName name="QBREPORTCOMPARECOL_TRIPMILES" localSheetId="11">FALSE</definedName>
    <definedName name="QBREPORTCOMPARECOL_TRIPMILES" localSheetId="7">FALSE</definedName>
    <definedName name="QBREPORTCOMPARECOL_TRIPNOTBILLABLEMILES" localSheetId="11">FALSE</definedName>
    <definedName name="QBREPORTCOMPARECOL_TRIPNOTBILLABLEMILES" localSheetId="7">FALSE</definedName>
    <definedName name="QBREPORTCOMPARECOL_TRIPTAXDEDUCTIBLEAMOUNT" localSheetId="11">FALSE</definedName>
    <definedName name="QBREPORTCOMPARECOL_TRIPTAXDEDUCTIBLEAMOUNT" localSheetId="7">FALSE</definedName>
    <definedName name="QBREPORTCOMPARECOL_TRIPUNBILLEDMILES" localSheetId="11">FALSE</definedName>
    <definedName name="QBREPORTCOMPARECOL_TRIPUNBILLEDMILES" localSheetId="7">FALSE</definedName>
    <definedName name="QBREPORTCOMPARECOL_YTD" localSheetId="11">FALSE</definedName>
    <definedName name="QBREPORTCOMPARECOL_YTD" localSheetId="7">FALSE</definedName>
    <definedName name="QBREPORTCOMPARECOL_YTDBUDGET" localSheetId="11">FALSE</definedName>
    <definedName name="QBREPORTCOMPARECOL_YTDBUDGET" localSheetId="7">FALSE</definedName>
    <definedName name="QBREPORTCOMPARECOL_YTDPCT" localSheetId="11">FALSE</definedName>
    <definedName name="QBREPORTCOMPARECOL_YTDPCT" localSheetId="7">FALSE</definedName>
    <definedName name="QBREPORTROWAXIS" localSheetId="11">9</definedName>
    <definedName name="QBREPORTROWAXIS" localSheetId="7">11</definedName>
    <definedName name="QBREPORTSUBCOLAXIS" localSheetId="11">24</definedName>
    <definedName name="QBREPORTSUBCOLAXIS" localSheetId="7">0</definedName>
    <definedName name="QBREPORTTYPE" localSheetId="11">5</definedName>
    <definedName name="QBREPORTTYPE" localSheetId="7">0</definedName>
    <definedName name="QBROWHEADERS" localSheetId="11">7</definedName>
    <definedName name="QBROWHEADERS" localSheetId="7">7</definedName>
    <definedName name="QBSTARTDATE" localSheetId="11">20220630</definedName>
    <definedName name="QBSTARTDATE" localSheetId="7">20210701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4" i="2"/>
  <c r="D30" i="38"/>
  <c r="I32" i="31" l="1"/>
  <c r="I44" i="1"/>
  <c r="I45" i="1"/>
  <c r="I46" i="1"/>
  <c r="I43" i="1"/>
  <c r="I40" i="1"/>
  <c r="I39" i="1"/>
  <c r="I37" i="1"/>
  <c r="I36" i="1"/>
  <c r="I34" i="1"/>
  <c r="I33" i="1"/>
  <c r="I30" i="1"/>
  <c r="I29" i="1"/>
  <c r="I25" i="1"/>
  <c r="I24" i="1"/>
  <c r="I21" i="1"/>
  <c r="I22" i="1"/>
  <c r="I20" i="1"/>
  <c r="I14" i="1"/>
  <c r="I15" i="1"/>
  <c r="I16" i="1"/>
  <c r="I17" i="1"/>
  <c r="I18" i="1"/>
  <c r="I13" i="1"/>
  <c r="I5" i="1"/>
  <c r="I6" i="1"/>
  <c r="I7" i="1"/>
  <c r="I8" i="1"/>
  <c r="I9" i="1"/>
  <c r="I10" i="1"/>
  <c r="I4" i="1"/>
  <c r="G18" i="26"/>
  <c r="I19" i="1" l="1"/>
  <c r="I11" i="1"/>
  <c r="I47" i="1"/>
  <c r="I41" i="1"/>
  <c r="I38" i="1"/>
  <c r="I35" i="1"/>
  <c r="I31" i="1"/>
  <c r="I32" i="1" s="1"/>
  <c r="I26" i="1"/>
  <c r="I27" i="1" s="1"/>
  <c r="I48" i="1" l="1"/>
  <c r="H32" i="1"/>
  <c r="G32" i="1"/>
  <c r="F32" i="1"/>
  <c r="H27" i="1"/>
  <c r="G27" i="1"/>
  <c r="F27" i="1"/>
  <c r="D27" i="27"/>
  <c r="C27" i="27"/>
  <c r="D24" i="1"/>
  <c r="C18" i="26"/>
  <c r="H41" i="1"/>
  <c r="G41" i="1"/>
  <c r="F41" i="1"/>
  <c r="D40" i="1"/>
  <c r="D39" i="1"/>
  <c r="H38" i="1"/>
  <c r="G38" i="1"/>
  <c r="F38" i="1"/>
  <c r="D37" i="1"/>
  <c r="D36" i="1"/>
  <c r="D34" i="1"/>
  <c r="D33" i="1"/>
  <c r="C24" i="1"/>
  <c r="D30" i="1"/>
  <c r="D29" i="1"/>
  <c r="C30" i="1"/>
  <c r="C29" i="1"/>
  <c r="D25" i="1"/>
  <c r="C25" i="1"/>
  <c r="B6" i="4"/>
  <c r="E35" i="1" l="1"/>
  <c r="D9" i="38"/>
  <c r="D10" i="38"/>
  <c r="C28" i="27" l="1"/>
  <c r="C33" i="27"/>
  <c r="D33" i="27"/>
  <c r="D9" i="1"/>
  <c r="D7" i="38" s="1"/>
  <c r="D10" i="1"/>
  <c r="D8" i="38" s="1"/>
  <c r="C34" i="27" l="1"/>
  <c r="B11" i="4"/>
  <c r="B13" i="4" s="1"/>
  <c r="B7" i="4"/>
  <c r="B8" i="4"/>
  <c r="B9" i="4"/>
  <c r="B39" i="4"/>
  <c r="D11" i="3"/>
  <c r="D38" i="3"/>
  <c r="D37" i="3"/>
  <c r="D36" i="3"/>
  <c r="D34" i="3"/>
  <c r="D33" i="3"/>
  <c r="D30" i="3"/>
  <c r="D29" i="3"/>
  <c r="D28" i="3"/>
  <c r="D27" i="3"/>
  <c r="D26" i="3"/>
  <c r="D25" i="3"/>
  <c r="D24" i="3"/>
  <c r="D23" i="3"/>
  <c r="D22" i="3"/>
  <c r="D20" i="3"/>
  <c r="D19" i="3"/>
  <c r="D18" i="3"/>
  <c r="D17" i="3"/>
  <c r="D16" i="3"/>
  <c r="D14" i="3"/>
  <c r="D13" i="3"/>
  <c r="D12" i="3"/>
  <c r="D10" i="3"/>
  <c r="D9" i="3"/>
  <c r="D8" i="3"/>
  <c r="D7" i="3"/>
  <c r="D6" i="3"/>
  <c r="D5" i="3"/>
  <c r="D4" i="3"/>
  <c r="C22" i="31"/>
  <c r="H9" i="30"/>
  <c r="D18" i="26"/>
  <c r="E18" i="26"/>
  <c r="B22" i="31"/>
  <c r="E38" i="3"/>
  <c r="E37" i="3"/>
  <c r="E36" i="3"/>
  <c r="E34" i="3"/>
  <c r="E33" i="3"/>
  <c r="E30" i="3"/>
  <c r="E29" i="3"/>
  <c r="E28" i="3"/>
  <c r="E27" i="3"/>
  <c r="E26" i="3"/>
  <c r="D29" i="38" s="1"/>
  <c r="E25" i="3"/>
  <c r="E24" i="3"/>
  <c r="E23" i="3"/>
  <c r="E22" i="3"/>
  <c r="E20" i="3"/>
  <c r="E19" i="3"/>
  <c r="E18" i="3"/>
  <c r="E17" i="3"/>
  <c r="E16" i="3"/>
  <c r="E5" i="3"/>
  <c r="E6" i="3"/>
  <c r="E7" i="3"/>
  <c r="E8" i="3"/>
  <c r="D27" i="38" s="1"/>
  <c r="E9" i="3"/>
  <c r="E10" i="3"/>
  <c r="E11" i="3"/>
  <c r="E12" i="3"/>
  <c r="E13" i="3"/>
  <c r="E14" i="3"/>
  <c r="E4" i="3"/>
  <c r="B35" i="2"/>
  <c r="B36" i="2"/>
  <c r="B37" i="2"/>
  <c r="B34" i="2"/>
  <c r="C41" i="27"/>
  <c r="C15" i="27" s="1"/>
  <c r="C17" i="27" s="1"/>
  <c r="C12" i="27"/>
  <c r="D41" i="27"/>
  <c r="D15" i="27" s="1"/>
  <c r="C26" i="1"/>
  <c r="B45" i="1"/>
  <c r="B44" i="1"/>
  <c r="B43" i="1"/>
  <c r="H46" i="1"/>
  <c r="G46" i="1"/>
  <c r="F46" i="1"/>
  <c r="H45" i="1"/>
  <c r="G45" i="1"/>
  <c r="F45" i="1"/>
  <c r="H44" i="1"/>
  <c r="G44" i="1"/>
  <c r="F44" i="1"/>
  <c r="H43" i="1"/>
  <c r="G43" i="1"/>
  <c r="F43" i="1"/>
  <c r="H22" i="1"/>
  <c r="G22" i="1"/>
  <c r="F22" i="1"/>
  <c r="H21" i="1"/>
  <c r="G21" i="1"/>
  <c r="F21" i="1"/>
  <c r="H20" i="1"/>
  <c r="G20" i="1"/>
  <c r="F20" i="1"/>
  <c r="B14" i="1"/>
  <c r="B15" i="1"/>
  <c r="B16" i="1"/>
  <c r="B17" i="1"/>
  <c r="B13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L6" i="30"/>
  <c r="E29" i="31" s="1"/>
  <c r="M6" i="30"/>
  <c r="F29" i="31" s="1"/>
  <c r="E11" i="2" s="1"/>
  <c r="N6" i="30"/>
  <c r="G29" i="31" s="1"/>
  <c r="F11" i="2" s="1"/>
  <c r="L7" i="30"/>
  <c r="E30" i="31" s="1"/>
  <c r="M7" i="30"/>
  <c r="F30" i="31" s="1"/>
  <c r="E12" i="2" s="1"/>
  <c r="N7" i="30"/>
  <c r="G30" i="31" s="1"/>
  <c r="F12" i="2" s="1"/>
  <c r="L8" i="30"/>
  <c r="E31" i="31" s="1"/>
  <c r="M8" i="30"/>
  <c r="F31" i="31" s="1"/>
  <c r="E13" i="2" s="1"/>
  <c r="N8" i="30"/>
  <c r="G31" i="31" s="1"/>
  <c r="F13" i="2" s="1"/>
  <c r="M5" i="30"/>
  <c r="F28" i="31" s="1"/>
  <c r="E10" i="2" s="1"/>
  <c r="N5" i="30"/>
  <c r="G28" i="31" s="1"/>
  <c r="F10" i="2" s="1"/>
  <c r="L5" i="30"/>
  <c r="E28" i="31" s="1"/>
  <c r="F27" i="31"/>
  <c r="I9" i="30"/>
  <c r="G27" i="31" s="1"/>
  <c r="J9" i="30"/>
  <c r="G9" i="30"/>
  <c r="C9" i="30"/>
  <c r="D9" i="30"/>
  <c r="B9" i="30"/>
  <c r="E27" i="31"/>
  <c r="F38" i="2"/>
  <c r="E38" i="2"/>
  <c r="D5" i="1"/>
  <c r="D6" i="1"/>
  <c r="D14" i="38" s="1"/>
  <c r="D7" i="1"/>
  <c r="D8" i="1"/>
  <c r="D6" i="38" s="1"/>
  <c r="D4" i="1"/>
  <c r="F18" i="2"/>
  <c r="C18" i="2" s="1"/>
  <c r="D20" i="38" s="1"/>
  <c r="E5" i="31"/>
  <c r="E6" i="31"/>
  <c r="H6" i="31" s="1"/>
  <c r="E7" i="31"/>
  <c r="H7" i="31" s="1"/>
  <c r="E8" i="31"/>
  <c r="H8" i="31" s="1"/>
  <c r="E9" i="31"/>
  <c r="H9" i="31" s="1"/>
  <c r="E10" i="31"/>
  <c r="H10" i="31" s="1"/>
  <c r="E11" i="31"/>
  <c r="H11" i="31" s="1"/>
  <c r="E12" i="31"/>
  <c r="H12" i="31" s="1"/>
  <c r="E13" i="31"/>
  <c r="H13" i="31" s="1"/>
  <c r="E14" i="31"/>
  <c r="H14" i="31" s="1"/>
  <c r="E15" i="31"/>
  <c r="H15" i="31" s="1"/>
  <c r="G39" i="2" s="1"/>
  <c r="E16" i="31"/>
  <c r="H16" i="31" s="1"/>
  <c r="E17" i="31"/>
  <c r="H17" i="31" s="1"/>
  <c r="E18" i="31"/>
  <c r="H18" i="31" s="1"/>
  <c r="E20" i="31"/>
  <c r="H20" i="31" s="1"/>
  <c r="E21" i="31"/>
  <c r="H21" i="31" s="1"/>
  <c r="E4" i="31"/>
  <c r="H4" i="31" s="1"/>
  <c r="C31" i="1"/>
  <c r="F21" i="2"/>
  <c r="D7" i="2"/>
  <c r="E9" i="2"/>
  <c r="F9" i="2"/>
  <c r="E14" i="2"/>
  <c r="F14" i="2"/>
  <c r="E15" i="2"/>
  <c r="F15" i="2"/>
  <c r="E16" i="2"/>
  <c r="F16" i="2"/>
  <c r="E17" i="2"/>
  <c r="F17" i="2"/>
  <c r="E19" i="2"/>
  <c r="F19" i="2"/>
  <c r="E20" i="2"/>
  <c r="F20" i="2"/>
  <c r="E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4" i="2"/>
  <c r="F34" i="2"/>
  <c r="E35" i="2"/>
  <c r="F35" i="2"/>
  <c r="E36" i="2"/>
  <c r="F36" i="2"/>
  <c r="E37" i="2"/>
  <c r="F37" i="2"/>
  <c r="D30" i="2"/>
  <c r="D29" i="2"/>
  <c r="D28" i="2"/>
  <c r="D27" i="2"/>
  <c r="D24" i="2"/>
  <c r="D21" i="2"/>
  <c r="D14" i="2"/>
  <c r="D17" i="2"/>
  <c r="D5" i="2"/>
  <c r="D6" i="2"/>
  <c r="D9" i="2"/>
  <c r="D4" i="2"/>
  <c r="D11" i="2" l="1"/>
  <c r="H29" i="31"/>
  <c r="F8" i="2"/>
  <c r="G32" i="31"/>
  <c r="E8" i="2"/>
  <c r="F32" i="31"/>
  <c r="H28" i="31"/>
  <c r="H31" i="31"/>
  <c r="D8" i="2"/>
  <c r="E32" i="31"/>
  <c r="H27" i="31"/>
  <c r="H30" i="31"/>
  <c r="D19" i="2"/>
  <c r="H5" i="31"/>
  <c r="G48" i="1"/>
  <c r="F48" i="1"/>
  <c r="H48" i="1"/>
  <c r="B10" i="4"/>
  <c r="C19" i="27"/>
  <c r="E22" i="31"/>
  <c r="L9" i="30"/>
  <c r="O5" i="30"/>
  <c r="O8" i="30"/>
  <c r="O7" i="30"/>
  <c r="O6" i="30"/>
  <c r="M9" i="30"/>
  <c r="N9" i="30"/>
  <c r="E31" i="3"/>
  <c r="D31" i="3"/>
  <c r="E39" i="3"/>
  <c r="D39" i="3"/>
  <c r="B38" i="4" s="1"/>
  <c r="D15" i="3"/>
  <c r="E20" i="1"/>
  <c r="D12" i="38" s="1"/>
  <c r="E43" i="1"/>
  <c r="E45" i="1"/>
  <c r="E46" i="1"/>
  <c r="E44" i="1"/>
  <c r="E18" i="1"/>
  <c r="E15" i="1"/>
  <c r="E14" i="1"/>
  <c r="E13" i="1"/>
  <c r="E11" i="1"/>
  <c r="H32" i="31" l="1"/>
  <c r="O9" i="30"/>
  <c r="E47" i="1"/>
  <c r="I22" i="31" l="1"/>
  <c r="B18" i="26" l="1"/>
  <c r="E5" i="30" l="1"/>
  <c r="E9" i="30" s="1"/>
  <c r="E15" i="3" l="1"/>
  <c r="E21" i="3" l="1"/>
  <c r="G22" i="31"/>
  <c r="D10" i="2"/>
  <c r="C10" i="2" s="1"/>
  <c r="D22" i="31"/>
  <c r="D37" i="2" l="1"/>
  <c r="D36" i="2"/>
  <c r="D34" i="2"/>
  <c r="C34" i="2" s="1"/>
  <c r="D35" i="2"/>
  <c r="C35" i="2" s="1"/>
  <c r="D13" i="2"/>
  <c r="D25" i="2"/>
  <c r="D16" i="2"/>
  <c r="D20" i="2"/>
  <c r="D23" i="2"/>
  <c r="D26" i="2"/>
  <c r="D32" i="2"/>
  <c r="D31" i="2"/>
  <c r="D38" i="2"/>
  <c r="D22" i="2"/>
  <c r="D15" i="2"/>
  <c r="D12" i="2"/>
  <c r="B26" i="4"/>
  <c r="B23" i="4"/>
  <c r="B22" i="4"/>
  <c r="B42" i="4" s="1"/>
  <c r="B21" i="4"/>
  <c r="B40" i="4" s="1"/>
  <c r="B24" i="4"/>
  <c r="B43" i="4" s="1"/>
  <c r="B28" i="4" l="1"/>
  <c r="B25" i="4"/>
  <c r="H22" i="31"/>
  <c r="D28" i="27"/>
  <c r="D34" i="27" s="1"/>
  <c r="D17" i="27"/>
  <c r="D12" i="27"/>
  <c r="D19" i="27" l="1"/>
  <c r="F22" i="31"/>
  <c r="E39" i="2" l="1"/>
  <c r="F39" i="2"/>
  <c r="D39" i="2"/>
  <c r="E48" i="1" l="1"/>
  <c r="C36" i="2" l="1"/>
  <c r="C37" i="2"/>
  <c r="C38" i="2"/>
  <c r="C5" i="2"/>
  <c r="C6" i="2"/>
  <c r="C7" i="2"/>
  <c r="C8" i="2"/>
  <c r="C9" i="2"/>
  <c r="C11" i="2"/>
  <c r="C12" i="2"/>
  <c r="C13" i="2"/>
  <c r="C14" i="2"/>
  <c r="C15" i="2"/>
  <c r="C16" i="2"/>
  <c r="C17" i="2"/>
  <c r="C19" i="2"/>
  <c r="D13" i="38" s="1"/>
  <c r="C20" i="2"/>
  <c r="C21" i="2"/>
  <c r="C22" i="2"/>
  <c r="C23" i="2"/>
  <c r="C24" i="2"/>
  <c r="C25" i="2"/>
  <c r="C26" i="2"/>
  <c r="C27" i="2"/>
  <c r="C28" i="2"/>
  <c r="C29" i="2"/>
  <c r="C30" i="2"/>
  <c r="C31" i="2"/>
  <c r="D21" i="38" s="1"/>
  <c r="C32" i="2"/>
  <c r="C4" i="2"/>
  <c r="E41" i="1"/>
  <c r="E38" i="1"/>
  <c r="E32" i="1"/>
  <c r="D31" i="1"/>
  <c r="D26" i="1"/>
  <c r="E16" i="1"/>
  <c r="E17" i="1"/>
  <c r="E21" i="1"/>
  <c r="E22" i="1"/>
  <c r="D19" i="38" l="1"/>
  <c r="E19" i="1"/>
  <c r="D11" i="38" s="1"/>
  <c r="E27" i="1"/>
  <c r="C39" i="2"/>
  <c r="D40" i="3"/>
  <c r="E40" i="3"/>
  <c r="E42" i="3" s="1"/>
  <c r="B36" i="4" l="1"/>
  <c r="B29" i="4"/>
  <c r="B19" i="4" s="1"/>
  <c r="B14" i="4"/>
  <c r="B4" i="4" s="1"/>
  <c r="B35" i="4"/>
  <c r="D21" i="3"/>
  <c r="D42" i="3" s="1"/>
  <c r="B37" i="4" l="1"/>
  <c r="B44" i="4" s="1"/>
  <c r="B46" i="4" s="1"/>
</calcChain>
</file>

<file path=xl/sharedStrings.xml><?xml version="1.0" encoding="utf-8"?>
<sst xmlns="http://schemas.openxmlformats.org/spreadsheetml/2006/main" count="435" uniqueCount="335">
  <si>
    <t>Checklist for Review Exempt Org Tax Return</t>
  </si>
  <si>
    <t>Revenue - Checks</t>
  </si>
  <si>
    <t>S No</t>
  </si>
  <si>
    <t>Check Points</t>
  </si>
  <si>
    <t>Verification Check</t>
  </si>
  <si>
    <t>Review Points</t>
  </si>
  <si>
    <t>Compliance Check</t>
  </si>
  <si>
    <r>
      <t>Is there any Govt Grant</t>
    </r>
    <r>
      <rPr>
        <sz val="11"/>
        <color rgb="FF002060"/>
        <rFont val="Calibri"/>
        <family val="2"/>
      </rPr>
      <t xml:space="preserve"> </t>
    </r>
  </si>
  <si>
    <t xml:space="preserve">Is Contributed list updated in Schedule B and RRF-1 </t>
  </si>
  <si>
    <t>Is there any other contribution</t>
  </si>
  <si>
    <t>Is Contributed list updated in Schedule B</t>
  </si>
  <si>
    <t>Is there any Non cash contribution more than $25000</t>
  </si>
  <si>
    <t xml:space="preserve">Are details updated in Schedule M </t>
  </si>
  <si>
    <t>Is there any donated services / In-Kind service</t>
  </si>
  <si>
    <t>Is it part of reconciliation on page -12 and schedule D</t>
  </si>
  <si>
    <t>Is there any Unrealized Gain / Loss</t>
  </si>
  <si>
    <t>Is there any Program Service Revenue</t>
  </si>
  <si>
    <t>Is it reconciled with Page 2</t>
  </si>
  <si>
    <t>Is there any Investment Income</t>
  </si>
  <si>
    <t>It should be Gross income without effect of Unrealized gain and Investment Exp</t>
  </si>
  <si>
    <t>Is there any Investment Management Exp</t>
  </si>
  <si>
    <t>Is it showing in Line 11f of part IX</t>
  </si>
  <si>
    <t>Is there Fundraising Income More Than $15000</t>
  </si>
  <si>
    <t>Is Schedule G Filled properly</t>
  </si>
  <si>
    <t>Expenses - Checks</t>
  </si>
  <si>
    <t>Is there any Grants and Other Assistance paid more than $5000</t>
  </si>
  <si>
    <t>Is Schedule I Filled Properly</t>
  </si>
  <si>
    <t>Is there Professional Fundraising Services More Than $15000</t>
  </si>
  <si>
    <t xml:space="preserve">Is there any Depreciation expenses </t>
  </si>
  <si>
    <t>Is Form 3885 or 3885F Filled properly</t>
  </si>
  <si>
    <t>Is Total of Program Service Expenses Reconciled with page 2</t>
  </si>
  <si>
    <t>Balance Sheet - Checks</t>
  </si>
  <si>
    <t>Is there any receivable from or payable to disqualified person</t>
  </si>
  <si>
    <t>Is Schedule L filled properly and Line 1 of RRF-1 marked yes</t>
  </si>
  <si>
    <t>Is there any other transaction with disqualified person</t>
  </si>
  <si>
    <t>No</t>
  </si>
  <si>
    <t>Is there any Escrow and Custodial Arrangements</t>
  </si>
  <si>
    <t>Is Part IV of Schedule D filled properly</t>
  </si>
  <si>
    <t xml:space="preserve">Is there any fixed assets </t>
  </si>
  <si>
    <t>Is Part VI of schedule D matched with Audit Report</t>
  </si>
  <si>
    <t>Is organization hold assets in donor-restricted endowments</t>
  </si>
  <si>
    <t>Is Part V of Schedule D filled properly</t>
  </si>
  <si>
    <t>Is there any related party (See Note in Audit Report)</t>
  </si>
  <si>
    <t>Is Schedule R filled properly</t>
  </si>
  <si>
    <t>Other - Checks</t>
  </si>
  <si>
    <t>Is all revenue figures updated in schedule A</t>
  </si>
  <si>
    <t>Is Form-199 figures matched with Audit Report or Books</t>
  </si>
  <si>
    <t>Yes</t>
  </si>
  <si>
    <t xml:space="preserve">Are figures updated in Form RRF-1 </t>
  </si>
  <si>
    <t>Is it being submitted per Final Audit Report figures</t>
  </si>
  <si>
    <t>Are these lines marked "✔" (Part IV Line 12a/b, Part XII Line 2a,b,c, RRF-1 Line 8)</t>
  </si>
  <si>
    <t>Is there any footnote regarding the uncertain income tax position in the Final Audit Report</t>
  </si>
  <si>
    <t>Is it stated in Schedule D Supplemental Information</t>
  </si>
  <si>
    <t>Is single audit applicable in Audit Report (SEFA)</t>
  </si>
  <si>
    <t>Are these lines marked "✔" (Part XII Line 3a and 3b)</t>
  </si>
  <si>
    <t>Is the FY ending other than December</t>
  </si>
  <si>
    <t>Is CA copy made and compensation statement generated in form 199.</t>
  </si>
  <si>
    <t>Part VIII - Statement of Revenue</t>
  </si>
  <si>
    <t>Line</t>
  </si>
  <si>
    <t>Particulars</t>
  </si>
  <si>
    <t>Total Revenue</t>
  </si>
  <si>
    <t>Related or Exempt Function Income</t>
  </si>
  <si>
    <t>Unrelated Business Revenue</t>
  </si>
  <si>
    <t>Revenue excluded from tax under $512, 513 or 514</t>
  </si>
  <si>
    <t>Last Year</t>
  </si>
  <si>
    <t>1a</t>
  </si>
  <si>
    <t>Federated Campaigns</t>
  </si>
  <si>
    <t>1b</t>
  </si>
  <si>
    <t>Membership Dues</t>
  </si>
  <si>
    <t>1c</t>
  </si>
  <si>
    <t>Fundraising Events</t>
  </si>
  <si>
    <t>1d</t>
  </si>
  <si>
    <t>Related Organisations</t>
  </si>
  <si>
    <t>1e</t>
  </si>
  <si>
    <t>Government Grants/ Contributions</t>
  </si>
  <si>
    <t>1f</t>
  </si>
  <si>
    <t>All Other contributions, gifts, grants and similar amounts not listed above</t>
  </si>
  <si>
    <t>1g</t>
  </si>
  <si>
    <t>Noncash Contributions included in lines 1a-1f</t>
  </si>
  <si>
    <t>1h</t>
  </si>
  <si>
    <r>
      <t xml:space="preserve">Total. </t>
    </r>
    <r>
      <rPr>
        <sz val="11"/>
        <color theme="1"/>
        <rFont val="Calibri"/>
        <family val="2"/>
        <scheme val="minor"/>
      </rPr>
      <t>Add Lines 1a-1f</t>
    </r>
  </si>
  <si>
    <t>Program Service Revenue</t>
  </si>
  <si>
    <t>Business Code</t>
  </si>
  <si>
    <t>2a</t>
  </si>
  <si>
    <t>2b</t>
  </si>
  <si>
    <t>2c</t>
  </si>
  <si>
    <t>2d</t>
  </si>
  <si>
    <t>2e</t>
  </si>
  <si>
    <t>2f</t>
  </si>
  <si>
    <t>All other program service revenue</t>
  </si>
  <si>
    <t>2g</t>
  </si>
  <si>
    <r>
      <rPr>
        <b/>
        <sz val="11"/>
        <color theme="1"/>
        <rFont val="Calibri"/>
        <family val="2"/>
        <scheme val="minor"/>
      </rPr>
      <t>Total.</t>
    </r>
    <r>
      <rPr>
        <sz val="11"/>
        <color theme="1"/>
        <rFont val="Calibri"/>
        <family val="2"/>
        <scheme val="minor"/>
      </rPr>
      <t xml:space="preserve"> Add Lines 2a-2f</t>
    </r>
  </si>
  <si>
    <t>Investment Income (dividends, interest and other similar amounts)</t>
  </si>
  <si>
    <t>Income from Investment of tax-exempt bond proceeds</t>
  </si>
  <si>
    <t>Royalties</t>
  </si>
  <si>
    <t>Real</t>
  </si>
  <si>
    <t>Personal</t>
  </si>
  <si>
    <t>6a</t>
  </si>
  <si>
    <t>Gross Rents</t>
  </si>
  <si>
    <t>6b</t>
  </si>
  <si>
    <t>Less: Rental Expenses</t>
  </si>
  <si>
    <t>6c</t>
  </si>
  <si>
    <t>Rental Income or (Loss)</t>
  </si>
  <si>
    <t>6d</t>
  </si>
  <si>
    <t>Net Rental Income or (Loss)</t>
  </si>
  <si>
    <t xml:space="preserve">Securities </t>
  </si>
  <si>
    <t>Other</t>
  </si>
  <si>
    <t>7a</t>
  </si>
  <si>
    <t>Gross Amounts from Sales of Assets other than Inventory</t>
  </si>
  <si>
    <t>7b</t>
  </si>
  <si>
    <t>Less: Cost or Other Basis and sales expenses</t>
  </si>
  <si>
    <t>7c</t>
  </si>
  <si>
    <t>Gain or (Loss)</t>
  </si>
  <si>
    <t>7d</t>
  </si>
  <si>
    <t>Net Gain or (Loss)</t>
  </si>
  <si>
    <t>8a</t>
  </si>
  <si>
    <t>Gross Income from fundraising activities 
(not including contributions on line 1c)</t>
  </si>
  <si>
    <t>8b</t>
  </si>
  <si>
    <t>Less: Direct Expenses</t>
  </si>
  <si>
    <t>8c</t>
  </si>
  <si>
    <t>Net Income or (loss) from fund raising activities</t>
  </si>
  <si>
    <t>9a</t>
  </si>
  <si>
    <t>Gross Income from Gaming Activities</t>
  </si>
  <si>
    <t>9b</t>
  </si>
  <si>
    <t>9c</t>
  </si>
  <si>
    <t>Net Income or (loss) from gaming activities</t>
  </si>
  <si>
    <t>10a</t>
  </si>
  <si>
    <t>Gross Sales of Inventory, less returns and allowances</t>
  </si>
  <si>
    <t>10b</t>
  </si>
  <si>
    <t>Less: COGS</t>
  </si>
  <si>
    <t>10c</t>
  </si>
  <si>
    <t>Net Income or (loss) from Sales of Inventory</t>
  </si>
  <si>
    <t>Miscellaneous revenue</t>
  </si>
  <si>
    <t>11a</t>
  </si>
  <si>
    <t>11b</t>
  </si>
  <si>
    <t>11c</t>
  </si>
  <si>
    <t>11d</t>
  </si>
  <si>
    <t>All other revenue</t>
  </si>
  <si>
    <t>11e</t>
  </si>
  <si>
    <r>
      <rPr>
        <b/>
        <sz val="11"/>
        <color theme="1"/>
        <rFont val="Calibri"/>
        <family val="2"/>
        <scheme val="minor"/>
      </rPr>
      <t>Total.</t>
    </r>
    <r>
      <rPr>
        <sz val="11"/>
        <color theme="1"/>
        <rFont val="Calibri"/>
        <family val="2"/>
        <scheme val="minor"/>
      </rPr>
      <t xml:space="preserve"> (Line 11a-11d)</t>
    </r>
  </si>
  <si>
    <t>Part IX: Statement of Functional Expenses</t>
  </si>
  <si>
    <t>Total</t>
  </si>
  <si>
    <t>Program Service</t>
  </si>
  <si>
    <t>Management</t>
  </si>
  <si>
    <t>Fundraising</t>
  </si>
  <si>
    <t>Grants and other assistance to domestic governments and domestic organisations</t>
  </si>
  <si>
    <t>Grants and other assistance to domestic individuals</t>
  </si>
  <si>
    <t>Grants and other assistance foreign organizations, foreign governments and foreign individuals</t>
  </si>
  <si>
    <t>Benefits paid to or for members</t>
  </si>
  <si>
    <t>Compensation of Current officers, directors, trustees and key employees</t>
  </si>
  <si>
    <t>Compensations not included above to disqualified persons</t>
  </si>
  <si>
    <t>Other Salaries and wages</t>
  </si>
  <si>
    <t>Pension plam accruals &amp; contributions (incl. 401(k) and 403(b) employer contr.)</t>
  </si>
  <si>
    <t>Other Employee Benefits</t>
  </si>
  <si>
    <t>Payroll taxes</t>
  </si>
  <si>
    <t>Legal</t>
  </si>
  <si>
    <t>Accounting</t>
  </si>
  <si>
    <t>Lobbying</t>
  </si>
  <si>
    <t>Professional Fundraising services</t>
  </si>
  <si>
    <t>11f</t>
  </si>
  <si>
    <t>Investment Management Fees</t>
  </si>
  <si>
    <t>11g</t>
  </si>
  <si>
    <t>Other Fees for service</t>
  </si>
  <si>
    <t>Advertising and promotion</t>
  </si>
  <si>
    <t>Office Expenses</t>
  </si>
  <si>
    <t>Information technology</t>
  </si>
  <si>
    <t>Occupancy</t>
  </si>
  <si>
    <t>Travel</t>
  </si>
  <si>
    <t>Travel/ Entertainment for any federal, state, or local public officials</t>
  </si>
  <si>
    <t>Conferences, conventions and meetings</t>
  </si>
  <si>
    <t>Interest</t>
  </si>
  <si>
    <t>Payments to affiliates</t>
  </si>
  <si>
    <t>Depreciation, depletion and amortization</t>
  </si>
  <si>
    <t>Insurance</t>
  </si>
  <si>
    <t>Other Expenses. Itemize expenses not covered above (List Misc. expenses on 24e and not on lines 24a-d. If line 24e amount exceeds 10% of line 25, column(A) amouont, list line 24e expenses on schedule O)</t>
  </si>
  <si>
    <t>24a</t>
  </si>
  <si>
    <t>24b</t>
  </si>
  <si>
    <t>24c</t>
  </si>
  <si>
    <t>24d</t>
  </si>
  <si>
    <t>24e</t>
  </si>
  <si>
    <t xml:space="preserve">All Other </t>
  </si>
  <si>
    <t>Total Functional Expenses</t>
  </si>
  <si>
    <t>Part X - Balance Sheet</t>
  </si>
  <si>
    <t>Beginning of year</t>
  </si>
  <si>
    <t>End of Year</t>
  </si>
  <si>
    <t>Assets</t>
  </si>
  <si>
    <t>Cash - Non Interest Bearing</t>
  </si>
  <si>
    <t>Saving and Temporary Cash Investments</t>
  </si>
  <si>
    <t>Pledges and grants receivable, net</t>
  </si>
  <si>
    <t>Accounts Receivable, net</t>
  </si>
  <si>
    <t>Receivables from Current and Former Officers, Directors, Trustees, Key Employees, creator or founder, substantial contributor, or 35% controlled entity or family member of any of these persons (Sch. L)</t>
  </si>
  <si>
    <t>Receivables from other Disqulified Persons</t>
  </si>
  <si>
    <t>Notes and Loans Receivable, net</t>
  </si>
  <si>
    <t>Inventories for sale or use</t>
  </si>
  <si>
    <t>Prepaid Expenses and Deferred Charges</t>
  </si>
  <si>
    <t>Land, Buildings and Equipment</t>
  </si>
  <si>
    <t>Less: Accumulated Depriciation</t>
  </si>
  <si>
    <t>Land, Buildings and Equipment - Net</t>
  </si>
  <si>
    <t>Investments - Publicly Traded Securities</t>
  </si>
  <si>
    <t>Investments - OtherSecurities</t>
  </si>
  <si>
    <t>Investments - Program related</t>
  </si>
  <si>
    <t>Intangible Assets</t>
  </si>
  <si>
    <t>Other  assets</t>
  </si>
  <si>
    <t>Total Assets</t>
  </si>
  <si>
    <t>Liabilities</t>
  </si>
  <si>
    <t>Accounts Payable and Accrued Expenses</t>
  </si>
  <si>
    <t>Grants Payable</t>
  </si>
  <si>
    <t>Deferred Revenue</t>
  </si>
  <si>
    <t>Tax-Exempt Bond Liabilities</t>
  </si>
  <si>
    <t>Escrow or custodial account liability</t>
  </si>
  <si>
    <t>Payables to current or former Officers, Directors, Trustees and Key Employees, Highest compensated employees and disqualified persons</t>
  </si>
  <si>
    <t>Secured Mortgages and Notes Payable to unrelated third parties</t>
  </si>
  <si>
    <t>Unsecured notes and loans payable to unrelated third parties</t>
  </si>
  <si>
    <t>Other Liabilities (incl. federal income tax, payables to related thord parties and other liabilities not included above)</t>
  </si>
  <si>
    <t>Total Liabilities</t>
  </si>
  <si>
    <t>Net Assets or fund balances</t>
  </si>
  <si>
    <t>Organizations that follow FASB ASC 958, complete lines 27, 28, 32, and 33</t>
  </si>
  <si>
    <t>Net assets without donor restrictions</t>
  </si>
  <si>
    <t>Net assets with donor restrictions</t>
  </si>
  <si>
    <t>Organizations that do not follow FASB ASC 958, complete lines 29 through 33.</t>
  </si>
  <si>
    <t>Capital Stock or trust principal or current funds</t>
  </si>
  <si>
    <t>Paid in or Capital Surplus, or land, building, or equipment funds</t>
  </si>
  <si>
    <t>Retained Earnings, endowment, accumulated income, or other funds</t>
  </si>
  <si>
    <t>Total Net Assets or Fund Balances</t>
  </si>
  <si>
    <t>Total Liabilities and Net Assets or Fund Balances</t>
  </si>
  <si>
    <t>Check</t>
  </si>
  <si>
    <t>Schedule D, Part XI - Recon. Of Revenue per AFS with Form 990</t>
  </si>
  <si>
    <t>Amount</t>
  </si>
  <si>
    <t>Total Revenue per AFS</t>
  </si>
  <si>
    <t>a. New Unrealized Gains (losses) on Investments</t>
  </si>
  <si>
    <t>Adj-UG</t>
  </si>
  <si>
    <t>b. Donated Services and use of facilities</t>
  </si>
  <si>
    <t>Adj-DS</t>
  </si>
  <si>
    <t>c. Recoveries of Prior year Grants</t>
  </si>
  <si>
    <t>Adj-PY</t>
  </si>
  <si>
    <t xml:space="preserve">d. Other </t>
  </si>
  <si>
    <t>Adj-Other</t>
  </si>
  <si>
    <t>a. Investment Expenses not included on Form 990, Part VIII, line 7b</t>
  </si>
  <si>
    <t>Adj-IE</t>
  </si>
  <si>
    <t xml:space="preserve">b. Other </t>
  </si>
  <si>
    <t>Total Revenue (Part VIII , Line 12)</t>
  </si>
  <si>
    <t>Schedule D, Part XII - Recon. Of Expenses per AFS with Form 990</t>
  </si>
  <si>
    <t>Total Expenses as per AFS</t>
  </si>
  <si>
    <t>a. Donated Services and use of facilities</t>
  </si>
  <si>
    <t>b. PY Adjustments</t>
  </si>
  <si>
    <t>c. Other Losses</t>
  </si>
  <si>
    <t>Adj-Other Loss</t>
  </si>
  <si>
    <t>Total Expenses (Part IX , Line 25)</t>
  </si>
  <si>
    <t>Part XI - Reconciliation of Net Assets</t>
  </si>
  <si>
    <t>1. Total Revenue (must equal Part VIII, Column (A), line 12)</t>
  </si>
  <si>
    <t>2. Total expenses (must equal Part IX, column (A), line 25)</t>
  </si>
  <si>
    <t>3. Revenue less expenses. Subtract line 2 from line 1</t>
  </si>
  <si>
    <t>4. Net assets or fund balances at beginning of year (must equal Part X, line 32, column (A))</t>
  </si>
  <si>
    <t>5. Net unrealized gains (losses) on investments</t>
  </si>
  <si>
    <t>6. Donated services and use of facilities</t>
  </si>
  <si>
    <t>7. Investment expenses</t>
  </si>
  <si>
    <t>8. Prior period adjustments</t>
  </si>
  <si>
    <t>9. Other changes in net assets or fund balances</t>
  </si>
  <si>
    <t>10. Net assets or fund balances at end of year. Combine lines 3 through 9 (must equal Part X, line 32, column (B))</t>
  </si>
  <si>
    <t xml:space="preserve">Sr. No. </t>
  </si>
  <si>
    <t>Preparer / Reviewer Name</t>
  </si>
  <si>
    <t>Topic</t>
  </si>
  <si>
    <t>Comments</t>
  </si>
  <si>
    <t>Resolution</t>
  </si>
  <si>
    <t>Name</t>
  </si>
  <si>
    <t>Date</t>
  </si>
  <si>
    <t>Preparer</t>
  </si>
  <si>
    <t>Reviewer 1</t>
  </si>
  <si>
    <t>Reviewer 2</t>
  </si>
  <si>
    <t>Reviewer 3</t>
  </si>
  <si>
    <t>Final Reviewer</t>
  </si>
  <si>
    <t>Related</t>
  </si>
  <si>
    <t>Unrelated</t>
  </si>
  <si>
    <t>Excluded in 512-514</t>
  </si>
  <si>
    <t>Total (As per Audit Report)</t>
  </si>
  <si>
    <t>* If you have bifurcated any head below, Don't Map in the above statement, Mapping should be done below only</t>
  </si>
  <si>
    <t>* DO NOT USE CUT (CRTL+X)</t>
  </si>
  <si>
    <t>PROGRAM SERVICES</t>
  </si>
  <si>
    <t>SUPPORTING SERVICES</t>
  </si>
  <si>
    <t>Program Services</t>
  </si>
  <si>
    <t>Support Services</t>
  </si>
  <si>
    <t>Health Services</t>
  </si>
  <si>
    <t>TOTAL (As Per Audit Report)</t>
  </si>
  <si>
    <t>Total Salaries and Benefits</t>
  </si>
  <si>
    <t>Compensation to Officer</t>
  </si>
  <si>
    <t>Other Salaries</t>
  </si>
  <si>
    <t>Pension</t>
  </si>
  <si>
    <t>Other Benefits</t>
  </si>
  <si>
    <t>Payroll Taxes</t>
  </si>
  <si>
    <t>Compensation Working</t>
  </si>
  <si>
    <t>Total Salaries and Benefits (as per audit report)</t>
  </si>
  <si>
    <t xml:space="preserve">Officer, Director Salaries and Benefits </t>
  </si>
  <si>
    <t>Remaining Salaries and Benefits</t>
  </si>
  <si>
    <t>Program Exp</t>
  </si>
  <si>
    <t>Management &amp; General</t>
  </si>
  <si>
    <t xml:space="preserve">Salaries </t>
  </si>
  <si>
    <t>Pension Plan</t>
  </si>
  <si>
    <t>Schedule Template</t>
  </si>
  <si>
    <t>Officer</t>
  </si>
  <si>
    <t>Base Contribution</t>
  </si>
  <si>
    <t>Benefits</t>
  </si>
  <si>
    <t>STATEMENT OF FINANCIAL POSITION</t>
  </si>
  <si>
    <t>990 Mapping (LY)</t>
  </si>
  <si>
    <t>990 Mapping (CY)</t>
  </si>
  <si>
    <t>Current assets</t>
  </si>
  <si>
    <t>Cash and cash equivalents</t>
  </si>
  <si>
    <t>Investments</t>
  </si>
  <si>
    <t>Grants receivables</t>
  </si>
  <si>
    <t>Prepaid Expenses</t>
  </si>
  <si>
    <t>Security Deposit</t>
  </si>
  <si>
    <t>Other current assets</t>
  </si>
  <si>
    <t>Total current assets</t>
  </si>
  <si>
    <t>Noncurrent assets</t>
  </si>
  <si>
    <t>Property and Equipment, net</t>
  </si>
  <si>
    <t>Refer to below Working</t>
  </si>
  <si>
    <t>Total noncurrent assets</t>
  </si>
  <si>
    <t>LIABILITIES AND NET ASSETS</t>
  </si>
  <si>
    <t>LIABILITIES</t>
  </si>
  <si>
    <t>Current liabilities</t>
  </si>
  <si>
    <t>PPP Loan</t>
  </si>
  <si>
    <t>Payroll and related Liabilities</t>
  </si>
  <si>
    <t>Total current liabilities</t>
  </si>
  <si>
    <t>NET ASSETS</t>
  </si>
  <si>
    <t>Without donor restrictions</t>
  </si>
  <si>
    <t>With donor restrictions</t>
  </si>
  <si>
    <t>Total Net Assets</t>
  </si>
  <si>
    <t>Total liabilities and net assets</t>
  </si>
  <si>
    <t>Fixed Assets:</t>
  </si>
  <si>
    <t>Cost</t>
  </si>
  <si>
    <t>less: Accumulated Depreciation</t>
  </si>
  <si>
    <t>Net Fixed Assets</t>
  </si>
  <si>
    <t>Amount (CY)</t>
  </si>
  <si>
    <t>Amount (LY)</t>
  </si>
  <si>
    <t>Total (CY)</t>
  </si>
  <si>
    <t>Total (LY)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</si>
</sst>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-&quot;??_ ;_ @_ 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singleAccounting"/>
      <sz val="11"/>
      <color theme="9" tint="-0.249977111117893"/>
      <name val="Calibri"/>
      <family val="2"/>
      <scheme val="minor"/>
    </font>
    <font>
      <sz val="1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80008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 val="singleAccounting"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Tahoma"/>
      <family val="2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i/>
      <u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2060"/>
      <name val="Calibri"/>
      <family val="2"/>
    </font>
    <font>
      <sz val="11"/>
      <color theme="1"/>
      <name val="Wingdings 2"/>
      <family val="1"/>
      <charset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thin">
        <color rgb="FF000000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8" fillId="0" borderId="0"/>
    <xf numFmtId="0" fontId="8" fillId="0" borderId="0"/>
    <xf numFmtId="0" fontId="7" fillId="0" borderId="0"/>
    <xf numFmtId="0" fontId="14" fillId="0" borderId="0"/>
    <xf numFmtId="0" fontId="15" fillId="0" borderId="0"/>
    <xf numFmtId="0" fontId="16" fillId="0" borderId="0"/>
    <xf numFmtId="0" fontId="16" fillId="0" borderId="0"/>
    <xf numFmtId="0" fontId="8" fillId="0" borderId="0"/>
    <xf numFmtId="0" fontId="7" fillId="0" borderId="0"/>
    <xf numFmtId="0" fontId="22" fillId="0" borderId="0"/>
    <xf numFmtId="43" fontId="6" fillId="0" borderId="0" applyFont="0" applyFill="0" applyBorder="0" applyAlignment="0" applyProtection="0"/>
  </cellStyleXfs>
  <cellXfs count="303">
    <xf numFmtId="0" fontId="0" fillId="0" borderId="0" xfId="0"/>
    <xf numFmtId="0" fontId="3" fillId="0" borderId="0" xfId="0" applyFont="1"/>
    <xf numFmtId="0" fontId="0" fillId="0" borderId="1" xfId="0" applyBorder="1"/>
    <xf numFmtId="43" fontId="0" fillId="0" borderId="0" xfId="1" applyFont="1"/>
    <xf numFmtId="43" fontId="0" fillId="0" borderId="0" xfId="0" applyNumberFormat="1"/>
    <xf numFmtId="43" fontId="0" fillId="0" borderId="0" xfId="1" applyFont="1" applyBorder="1"/>
    <xf numFmtId="43" fontId="0" fillId="0" borderId="0" xfId="1" applyFont="1" applyFill="1" applyBorder="1"/>
    <xf numFmtId="164" fontId="0" fillId="0" borderId="0" xfId="0" applyNumberFormat="1"/>
    <xf numFmtId="0" fontId="0" fillId="0" borderId="0" xfId="0" applyAlignment="1">
      <alignment horizontal="center"/>
    </xf>
    <xf numFmtId="0" fontId="9" fillId="0" borderId="0" xfId="0" applyFont="1"/>
    <xf numFmtId="43" fontId="9" fillId="0" borderId="0" xfId="1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0" fillId="0" borderId="1" xfId="0" applyNumberFormat="1" applyBorder="1"/>
    <xf numFmtId="2" fontId="0" fillId="0" borderId="1" xfId="0" applyNumberFormat="1" applyBorder="1"/>
    <xf numFmtId="43" fontId="0" fillId="0" borderId="1" xfId="1" applyFont="1" applyFill="1" applyBorder="1"/>
    <xf numFmtId="43" fontId="0" fillId="0" borderId="1" xfId="0" applyNumberFormat="1" applyBorder="1"/>
    <xf numFmtId="43" fontId="3" fillId="0" borderId="0" xfId="0" applyNumberFormat="1" applyFont="1"/>
    <xf numFmtId="43" fontId="11" fillId="0" borderId="0" xfId="0" applyNumberFormat="1" applyFont="1"/>
    <xf numFmtId="164" fontId="3" fillId="0" borderId="0" xfId="0" applyNumberFormat="1" applyFont="1"/>
    <xf numFmtId="0" fontId="0" fillId="5" borderId="15" xfId="0" applyFill="1" applyBorder="1"/>
    <xf numFmtId="0" fontId="3" fillId="5" borderId="1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43" fontId="0" fillId="0" borderId="10" xfId="1" applyFont="1" applyBorder="1"/>
    <xf numFmtId="49" fontId="17" fillId="0" borderId="9" xfId="0" applyNumberFormat="1" applyFont="1" applyBorder="1"/>
    <xf numFmtId="49" fontId="17" fillId="0" borderId="0" xfId="0" applyNumberFormat="1" applyFont="1"/>
    <xf numFmtId="43" fontId="18" fillId="0" borderId="0" xfId="1" applyFont="1" applyBorder="1"/>
    <xf numFmtId="0" fontId="17" fillId="0" borderId="0" xfId="0" applyFont="1"/>
    <xf numFmtId="49" fontId="17" fillId="5" borderId="22" xfId="0" applyNumberFormat="1" applyFont="1" applyFill="1" applyBorder="1"/>
    <xf numFmtId="0" fontId="3" fillId="5" borderId="21" xfId="0" applyFont="1" applyFill="1" applyBorder="1" applyAlignment="1">
      <alignment horizontal="center"/>
    </xf>
    <xf numFmtId="43" fontId="3" fillId="5" borderId="21" xfId="1" applyFont="1" applyFill="1" applyBorder="1" applyAlignment="1">
      <alignment horizontal="center"/>
    </xf>
    <xf numFmtId="0" fontId="0" fillId="5" borderId="21" xfId="0" applyFill="1" applyBorder="1"/>
    <xf numFmtId="49" fontId="18" fillId="0" borderId="0" xfId="5" applyNumberFormat="1" applyFont="1" applyAlignment="1">
      <alignment horizontal="left"/>
    </xf>
    <xf numFmtId="49" fontId="17" fillId="0" borderId="0" xfId="7" applyNumberFormat="1" applyFont="1" applyAlignment="1">
      <alignment horizontal="left"/>
    </xf>
    <xf numFmtId="49" fontId="18" fillId="0" borderId="9" xfId="0" applyNumberFormat="1" applyFont="1" applyBorder="1"/>
    <xf numFmtId="0" fontId="9" fillId="0" borderId="16" xfId="0" applyFont="1" applyBorder="1"/>
    <xf numFmtId="43" fontId="9" fillId="0" borderId="16" xfId="1" applyFont="1" applyBorder="1"/>
    <xf numFmtId="0" fontId="0" fillId="7" borderId="0" xfId="0" applyFill="1" applyAlignment="1">
      <alignment horizontal="center"/>
    </xf>
    <xf numFmtId="0" fontId="0" fillId="7" borderId="0" xfId="0" applyFill="1"/>
    <xf numFmtId="43" fontId="21" fillId="0" borderId="16" xfId="1" applyFont="1" applyFill="1" applyBorder="1"/>
    <xf numFmtId="43" fontId="9" fillId="0" borderId="16" xfId="1" applyFont="1" applyFill="1" applyBorder="1"/>
    <xf numFmtId="0" fontId="0" fillId="0" borderId="0" xfId="0" applyAlignment="1">
      <alignment horizontal="center" vertical="center"/>
    </xf>
    <xf numFmtId="0" fontId="23" fillId="7" borderId="0" xfId="4" applyFont="1" applyFill="1"/>
    <xf numFmtId="0" fontId="24" fillId="7" borderId="0" xfId="3" applyFont="1" applyFill="1"/>
    <xf numFmtId="0" fontId="0" fillId="0" borderId="16" xfId="0" applyBorder="1" applyAlignment="1">
      <alignment horizontal="center"/>
    </xf>
    <xf numFmtId="0" fontId="0" fillId="0" borderId="15" xfId="1" applyNumberFormat="1" applyFont="1" applyBorder="1" applyAlignment="1">
      <alignment horizontal="center"/>
    </xf>
    <xf numFmtId="0" fontId="1" fillId="0" borderId="16" xfId="1" applyNumberFormat="1" applyFont="1" applyBorder="1" applyAlignment="1">
      <alignment horizontal="center"/>
    </xf>
    <xf numFmtId="0" fontId="0" fillId="0" borderId="16" xfId="1" applyNumberFormat="1" applyFont="1" applyBorder="1" applyAlignment="1">
      <alignment horizontal="center"/>
    </xf>
    <xf numFmtId="43" fontId="3" fillId="0" borderId="4" xfId="1" applyFont="1" applyBorder="1" applyAlignment="1" applyProtection="1">
      <alignment horizontal="center"/>
    </xf>
    <xf numFmtId="43" fontId="0" fillId="2" borderId="16" xfId="1" applyFont="1" applyFill="1" applyBorder="1" applyProtection="1"/>
    <xf numFmtId="43" fontId="0" fillId="0" borderId="16" xfId="1" applyFont="1" applyBorder="1" applyProtection="1"/>
    <xf numFmtId="43" fontId="0" fillId="2" borderId="17" xfId="1" applyFont="1" applyFill="1" applyBorder="1" applyProtection="1"/>
    <xf numFmtId="43" fontId="0" fillId="0" borderId="16" xfId="1" applyFont="1" applyBorder="1"/>
    <xf numFmtId="43" fontId="0" fillId="6" borderId="16" xfId="1" applyFont="1" applyFill="1" applyBorder="1" applyProtection="1"/>
    <xf numFmtId="0" fontId="0" fillId="0" borderId="0" xfId="0" applyAlignment="1" applyProtection="1">
      <alignment vertical="center"/>
      <protection locked="0"/>
    </xf>
    <xf numFmtId="43" fontId="0" fillId="0" borderId="0" xfId="1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9" xfId="0" applyBorder="1" applyAlignment="1" applyProtection="1">
      <alignment horizontal="center"/>
      <protection locked="0"/>
    </xf>
    <xf numFmtId="43" fontId="0" fillId="0" borderId="0" xfId="1" applyFont="1" applyBorder="1" applyProtection="1">
      <protection locked="0"/>
    </xf>
    <xf numFmtId="43" fontId="21" fillId="8" borderId="16" xfId="1" applyFont="1" applyFill="1" applyBorder="1" applyAlignment="1">
      <alignment horizontal="center"/>
    </xf>
    <xf numFmtId="43" fontId="21" fillId="8" borderId="16" xfId="1" applyFont="1" applyFill="1" applyBorder="1"/>
    <xf numFmtId="0" fontId="11" fillId="0" borderId="1" xfId="0" applyFont="1" applyBorder="1"/>
    <xf numFmtId="0" fontId="3" fillId="0" borderId="0" xfId="0" applyFont="1" applyAlignment="1" applyProtection="1">
      <alignment horizontal="center" vertical="center"/>
      <protection locked="0"/>
    </xf>
    <xf numFmtId="43" fontId="0" fillId="0" borderId="16" xfId="1" applyFont="1" applyBorder="1" applyProtection="1">
      <protection locked="0"/>
    </xf>
    <xf numFmtId="43" fontId="0" fillId="0" borderId="0" xfId="1" applyFont="1" applyFill="1" applyBorder="1" applyProtection="1">
      <protection locked="0"/>
    </xf>
    <xf numFmtId="43" fontId="0" fillId="0" borderId="0" xfId="0" applyNumberFormat="1" applyProtection="1">
      <protection locked="0"/>
    </xf>
    <xf numFmtId="0" fontId="0" fillId="0" borderId="16" xfId="0" applyBorder="1" applyProtection="1">
      <protection locked="0"/>
    </xf>
    <xf numFmtId="164" fontId="0" fillId="0" borderId="0" xfId="0" applyNumberFormat="1" applyProtection="1">
      <protection locked="0"/>
    </xf>
    <xf numFmtId="43" fontId="0" fillId="0" borderId="16" xfId="1" applyFont="1" applyBorder="1" applyAlignment="1" applyProtection="1"/>
    <xf numFmtId="43" fontId="0" fillId="0" borderId="4" xfId="1" applyFont="1" applyBorder="1" applyProtection="1"/>
    <xf numFmtId="43" fontId="0" fillId="6" borderId="4" xfId="1" applyFont="1" applyFill="1" applyBorder="1" applyProtection="1"/>
    <xf numFmtId="0" fontId="3" fillId="0" borderId="4" xfId="0" applyFont="1" applyBorder="1" applyAlignment="1">
      <alignment horizontal="center" vertical="center"/>
    </xf>
    <xf numFmtId="43" fontId="5" fillId="0" borderId="15" xfId="1" applyFont="1" applyBorder="1" applyAlignment="1" applyProtection="1">
      <alignment horizontal="center"/>
    </xf>
    <xf numFmtId="43" fontId="0" fillId="6" borderId="15" xfId="1" applyFont="1" applyFill="1" applyBorder="1" applyProtection="1"/>
    <xf numFmtId="0" fontId="0" fillId="0" borderId="17" xfId="0" applyBorder="1" applyAlignment="1">
      <alignment horizontal="center"/>
    </xf>
    <xf numFmtId="43" fontId="5" fillId="0" borderId="15" xfId="1" applyFont="1" applyBorder="1" applyProtection="1"/>
    <xf numFmtId="43" fontId="0" fillId="0" borderId="17" xfId="1" applyFont="1" applyBorder="1" applyProtection="1"/>
    <xf numFmtId="43" fontId="3" fillId="0" borderId="4" xfId="1" applyFont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43" fontId="0" fillId="0" borderId="0" xfId="1" applyFont="1" applyBorder="1" applyProtection="1"/>
    <xf numFmtId="43" fontId="0" fillId="0" borderId="0" xfId="1" applyFont="1" applyFill="1" applyBorder="1" applyProtection="1"/>
    <xf numFmtId="43" fontId="17" fillId="0" borderId="0" xfId="1" applyFont="1"/>
    <xf numFmtId="0" fontId="17" fillId="0" borderId="0" xfId="0" applyFont="1" applyAlignment="1">
      <alignment horizontal="center"/>
    </xf>
    <xf numFmtId="0" fontId="0" fillId="0" borderId="16" xfId="0" applyBorder="1"/>
    <xf numFmtId="43" fontId="18" fillId="0" borderId="0" xfId="1" applyFont="1" applyAlignment="1">
      <alignment horizontal="left"/>
    </xf>
    <xf numFmtId="43" fontId="18" fillId="0" borderId="0" xfId="1" applyFont="1"/>
    <xf numFmtId="43" fontId="18" fillId="0" borderId="0" xfId="1" applyFont="1" applyAlignment="1">
      <alignment horizontal="right"/>
    </xf>
    <xf numFmtId="43" fontId="17" fillId="0" borderId="0" xfId="1" applyFont="1" applyAlignment="1">
      <alignment horizontal="right"/>
    </xf>
    <xf numFmtId="43" fontId="17" fillId="0" borderId="0" xfId="1" applyFont="1" applyBorder="1"/>
    <xf numFmtId="43" fontId="18" fillId="0" borderId="10" xfId="1" applyFont="1" applyBorder="1"/>
    <xf numFmtId="43" fontId="17" fillId="0" borderId="10" xfId="1" applyFont="1" applyBorder="1"/>
    <xf numFmtId="43" fontId="17" fillId="5" borderId="19" xfId="1" applyFont="1" applyFill="1" applyBorder="1"/>
    <xf numFmtId="43" fontId="17" fillId="5" borderId="20" xfId="1" applyFont="1" applyFill="1" applyBorder="1"/>
    <xf numFmtId="43" fontId="17" fillId="0" borderId="0" xfId="1" applyFont="1" applyAlignment="1">
      <alignment horizontal="left"/>
    </xf>
    <xf numFmtId="49" fontId="18" fillId="0" borderId="6" xfId="5" applyNumberFormat="1" applyFont="1" applyBorder="1" applyAlignment="1">
      <alignment horizontal="left"/>
    </xf>
    <xf numFmtId="43" fontId="18" fillId="0" borderId="7" xfId="1" applyFont="1" applyBorder="1" applyAlignment="1">
      <alignment horizontal="left"/>
    </xf>
    <xf numFmtId="43" fontId="18" fillId="0" borderId="8" xfId="1" applyFont="1" applyBorder="1" applyAlignment="1">
      <alignment horizontal="right"/>
    </xf>
    <xf numFmtId="49" fontId="18" fillId="0" borderId="9" xfId="5" applyNumberFormat="1" applyFont="1" applyBorder="1" applyAlignment="1">
      <alignment horizontal="left"/>
    </xf>
    <xf numFmtId="43" fontId="18" fillId="0" borderId="0" xfId="1" applyFont="1" applyBorder="1" applyAlignment="1">
      <alignment horizontal="left"/>
    </xf>
    <xf numFmtId="43" fontId="18" fillId="0" borderId="10" xfId="1" applyFont="1" applyBorder="1" applyAlignment="1">
      <alignment horizontal="left"/>
    </xf>
    <xf numFmtId="43" fontId="17" fillId="0" borderId="13" xfId="1" applyFont="1" applyBorder="1" applyAlignment="1">
      <alignment horizontal="right"/>
    </xf>
    <xf numFmtId="43" fontId="17" fillId="0" borderId="12" xfId="1" applyFont="1" applyBorder="1" applyAlignment="1">
      <alignment horizontal="left"/>
    </xf>
    <xf numFmtId="49" fontId="17" fillId="0" borderId="11" xfId="5" applyNumberFormat="1" applyFont="1" applyBorder="1" applyAlignment="1">
      <alignment horizontal="left"/>
    </xf>
    <xf numFmtId="0" fontId="17" fillId="0" borderId="25" xfId="0" applyFont="1" applyBorder="1" applyAlignment="1">
      <alignment horizontal="center"/>
    </xf>
    <xf numFmtId="0" fontId="17" fillId="0" borderId="3" xfId="1" applyNumberFormat="1" applyFont="1" applyBorder="1" applyAlignment="1">
      <alignment horizontal="center"/>
    </xf>
    <xf numFmtId="0" fontId="17" fillId="0" borderId="26" xfId="1" applyNumberFormat="1" applyFont="1" applyBorder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4" fontId="0" fillId="0" borderId="0" xfId="0" applyNumberForma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4" fontId="3" fillId="0" borderId="4" xfId="1" applyNumberFormat="1" applyFont="1" applyBorder="1" applyAlignment="1" applyProtection="1">
      <alignment horizontal="center"/>
    </xf>
    <xf numFmtId="0" fontId="0" fillId="0" borderId="16" xfId="0" applyBorder="1" applyAlignment="1">
      <alignment wrapText="1"/>
    </xf>
    <xf numFmtId="0" fontId="0" fillId="0" borderId="4" xfId="0" applyBorder="1" applyAlignment="1">
      <alignment horizontal="center" vertical="center"/>
    </xf>
    <xf numFmtId="0" fontId="3" fillId="0" borderId="4" xfId="0" applyFont="1" applyBorder="1"/>
    <xf numFmtId="43" fontId="0" fillId="2" borderId="4" xfId="1" applyFont="1" applyFill="1" applyBorder="1" applyProtection="1"/>
    <xf numFmtId="0" fontId="3" fillId="0" borderId="16" xfId="0" applyFont="1" applyBorder="1" applyAlignment="1">
      <alignment wrapText="1"/>
    </xf>
    <xf numFmtId="0" fontId="0" fillId="0" borderId="17" xfId="0" applyBorder="1" applyAlignment="1">
      <alignment horizontal="center" vertical="center"/>
    </xf>
    <xf numFmtId="0" fontId="3" fillId="0" borderId="17" xfId="0" applyFont="1" applyBorder="1"/>
    <xf numFmtId="43" fontId="17" fillId="0" borderId="0" xfId="1" applyFont="1" applyFill="1"/>
    <xf numFmtId="43" fontId="0" fillId="0" borderId="0" xfId="1" applyFont="1" applyFill="1" applyAlignment="1">
      <alignment horizontal="centerContinuous"/>
    </xf>
    <xf numFmtId="49" fontId="18" fillId="0" borderId="16" xfId="0" applyNumberFormat="1" applyFont="1" applyBorder="1"/>
    <xf numFmtId="0" fontId="0" fillId="0" borderId="17" xfId="0" applyBorder="1" applyProtection="1">
      <protection locked="0"/>
    </xf>
    <xf numFmtId="43" fontId="0" fillId="0" borderId="16" xfId="1" applyFont="1" applyBorder="1" applyAlignment="1" applyProtection="1">
      <alignment wrapText="1"/>
      <protection locked="0"/>
    </xf>
    <xf numFmtId="43" fontId="0" fillId="0" borderId="16" xfId="1" applyFont="1" applyFill="1" applyBorder="1" applyProtection="1">
      <protection locked="0"/>
    </xf>
    <xf numFmtId="43" fontId="0" fillId="0" borderId="17" xfId="1" applyFont="1" applyBorder="1" applyAlignment="1" applyProtection="1">
      <alignment wrapText="1"/>
      <protection locked="0"/>
    </xf>
    <xf numFmtId="43" fontId="2" fillId="0" borderId="0" xfId="1" applyFont="1" applyAlignment="1" applyProtection="1">
      <alignment horizontal="right"/>
      <protection locked="0"/>
    </xf>
    <xf numFmtId="43" fontId="3" fillId="0" borderId="29" xfId="1" applyFont="1" applyBorder="1" applyProtection="1"/>
    <xf numFmtId="43" fontId="3" fillId="0" borderId="30" xfId="1" applyFont="1" applyBorder="1" applyProtection="1"/>
    <xf numFmtId="43" fontId="1" fillId="0" borderId="21" xfId="1" applyFont="1" applyBorder="1" applyProtection="1"/>
    <xf numFmtId="43" fontId="0" fillId="0" borderId="16" xfId="1" applyFont="1" applyFill="1" applyBorder="1" applyProtection="1"/>
    <xf numFmtId="43" fontId="0" fillId="0" borderId="30" xfId="1" applyFont="1" applyFill="1" applyBorder="1" applyProtection="1"/>
    <xf numFmtId="43" fontId="0" fillId="0" borderId="21" xfId="1" applyFont="1" applyFill="1" applyBorder="1" applyProtection="1"/>
    <xf numFmtId="0" fontId="3" fillId="0" borderId="0" xfId="0" applyFont="1" applyAlignment="1">
      <alignment wrapText="1"/>
    </xf>
    <xf numFmtId="0" fontId="3" fillId="7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26" fillId="0" borderId="0" xfId="0" applyFont="1"/>
    <xf numFmtId="49" fontId="26" fillId="0" borderId="0" xfId="0" applyNumberFormat="1" applyFont="1"/>
    <xf numFmtId="49" fontId="27" fillId="0" borderId="0" xfId="0" applyNumberFormat="1" applyFont="1"/>
    <xf numFmtId="0" fontId="27" fillId="0" borderId="0" xfId="0" applyFont="1"/>
    <xf numFmtId="0" fontId="0" fillId="0" borderId="4" xfId="0" applyBorder="1" applyAlignment="1">
      <alignment horizontal="center"/>
    </xf>
    <xf numFmtId="37" fontId="20" fillId="0" borderId="0" xfId="0" applyNumberFormat="1" applyFont="1" applyAlignment="1">
      <alignment horizontal="center"/>
    </xf>
    <xf numFmtId="37" fontId="17" fillId="0" borderId="0" xfId="0" applyNumberFormat="1" applyFont="1" applyAlignment="1">
      <alignment horizontal="center"/>
    </xf>
    <xf numFmtId="37" fontId="0" fillId="0" borderId="0" xfId="1" applyNumberFormat="1" applyFont="1" applyFill="1" applyAlignment="1">
      <alignment horizontal="center"/>
    </xf>
    <xf numFmtId="37" fontId="0" fillId="0" borderId="0" xfId="0" applyNumberFormat="1" applyAlignment="1">
      <alignment horizontal="center"/>
    </xf>
    <xf numFmtId="37" fontId="18" fillId="0" borderId="0" xfId="1" applyNumberFormat="1" applyFont="1" applyFill="1" applyBorder="1" applyAlignment="1">
      <alignment horizontal="center"/>
    </xf>
    <xf numFmtId="37" fontId="18" fillId="0" borderId="0" xfId="0" applyNumberFormat="1" applyFont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0" borderId="0" xfId="1" applyNumberFormat="1" applyFont="1" applyBorder="1" applyAlignment="1">
      <alignment horizontal="center"/>
    </xf>
    <xf numFmtId="0" fontId="30" fillId="0" borderId="1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29" fillId="7" borderId="15" xfId="0" applyFont="1" applyFill="1" applyBorder="1" applyAlignment="1" applyProtection="1">
      <alignment horizontal="center" vertical="center"/>
      <protection locked="0"/>
    </xf>
    <xf numFmtId="0" fontId="30" fillId="0" borderId="15" xfId="0" applyFont="1" applyBorder="1" applyAlignment="1" applyProtection="1">
      <alignment horizontal="center" vertical="center"/>
      <protection locked="0"/>
    </xf>
    <xf numFmtId="0" fontId="32" fillId="0" borderId="0" xfId="0" applyFont="1" applyProtection="1">
      <protection locked="0"/>
    </xf>
    <xf numFmtId="0" fontId="30" fillId="0" borderId="17" xfId="0" applyFont="1" applyBorder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/>
      <protection locked="0"/>
    </xf>
    <xf numFmtId="0" fontId="30" fillId="0" borderId="0" xfId="0" applyFont="1" applyProtection="1">
      <protection locked="0"/>
    </xf>
    <xf numFmtId="0" fontId="30" fillId="11" borderId="17" xfId="0" applyFont="1" applyFill="1" applyBorder="1" applyAlignment="1" applyProtection="1">
      <alignment horizontal="center" vertical="center"/>
      <protection locked="0"/>
    </xf>
    <xf numFmtId="0" fontId="30" fillId="11" borderId="17" xfId="0" applyFont="1" applyFill="1" applyBorder="1" applyProtection="1">
      <protection locked="0"/>
    </xf>
    <xf numFmtId="37" fontId="18" fillId="10" borderId="0" xfId="0" applyNumberFormat="1" applyFont="1" applyFill="1" applyAlignment="1">
      <alignment horizontal="left"/>
    </xf>
    <xf numFmtId="0" fontId="29" fillId="7" borderId="32" xfId="0" applyFont="1" applyFill="1" applyBorder="1" applyAlignment="1">
      <alignment horizontal="center" vertical="center"/>
    </xf>
    <xf numFmtId="0" fontId="29" fillId="7" borderId="33" xfId="0" applyFont="1" applyFill="1" applyBorder="1" applyAlignment="1" applyProtection="1">
      <alignment horizontal="center" vertical="center"/>
      <protection locked="0"/>
    </xf>
    <xf numFmtId="43" fontId="0" fillId="6" borderId="10" xfId="1" applyFont="1" applyFill="1" applyBorder="1" applyProtection="1"/>
    <xf numFmtId="0" fontId="3" fillId="0" borderId="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/>
    </xf>
    <xf numFmtId="0" fontId="0" fillId="0" borderId="15" xfId="0" applyBorder="1" applyAlignment="1">
      <alignment horizontal="center"/>
    </xf>
    <xf numFmtId="43" fontId="0" fillId="0" borderId="4" xfId="1" applyFont="1" applyBorder="1" applyAlignment="1" applyProtection="1">
      <alignment horizontal="center"/>
    </xf>
    <xf numFmtId="0" fontId="0" fillId="0" borderId="9" xfId="0" applyBorder="1"/>
    <xf numFmtId="43" fontId="0" fillId="0" borderId="15" xfId="1" applyFont="1" applyBorder="1" applyProtection="1"/>
    <xf numFmtId="4" fontId="33" fillId="0" borderId="16" xfId="0" applyNumberFormat="1" applyFont="1" applyBorder="1"/>
    <xf numFmtId="0" fontId="33" fillId="0" borderId="10" xfId="0" applyFont="1" applyBorder="1"/>
    <xf numFmtId="4" fontId="33" fillId="0" borderId="10" xfId="0" applyNumberFormat="1" applyFont="1" applyBorder="1"/>
    <xf numFmtId="0" fontId="0" fillId="0" borderId="34" xfId="0" applyBorder="1"/>
    <xf numFmtId="43" fontId="0" fillId="0" borderId="34" xfId="1" applyFont="1" applyBorder="1"/>
    <xf numFmtId="0" fontId="0" fillId="0" borderId="30" xfId="0" applyBorder="1" applyAlignment="1">
      <alignment horizontal="center"/>
    </xf>
    <xf numFmtId="43" fontId="0" fillId="0" borderId="21" xfId="1" applyFont="1" applyBorder="1" applyProtection="1"/>
    <xf numFmtId="43" fontId="0" fillId="0" borderId="30" xfId="1" applyFont="1" applyBorder="1" applyAlignment="1" applyProtection="1"/>
    <xf numFmtId="43" fontId="0" fillId="6" borderId="17" xfId="1" applyFont="1" applyFill="1" applyBorder="1" applyProtection="1"/>
    <xf numFmtId="0" fontId="0" fillId="0" borderId="21" xfId="0" applyBorder="1" applyAlignment="1">
      <alignment horizontal="center"/>
    </xf>
    <xf numFmtId="0" fontId="0" fillId="0" borderId="21" xfId="0" applyBorder="1" applyAlignment="1">
      <alignment vertical="center"/>
    </xf>
    <xf numFmtId="43" fontId="0" fillId="2" borderId="21" xfId="1" applyFont="1" applyFill="1" applyBorder="1" applyProtection="1"/>
    <xf numFmtId="0" fontId="34" fillId="0" borderId="17" xfId="0" applyFont="1" applyBorder="1" applyAlignment="1">
      <alignment horizontal="center" vertical="center"/>
    </xf>
    <xf numFmtId="0" fontId="25" fillId="0" borderId="17" xfId="0" applyFont="1" applyBorder="1" applyAlignment="1">
      <alignment vertical="center"/>
    </xf>
    <xf numFmtId="43" fontId="25" fillId="0" borderId="17" xfId="1" applyFont="1" applyBorder="1" applyAlignment="1" applyProtection="1">
      <alignment vertical="center"/>
    </xf>
    <xf numFmtId="49" fontId="17" fillId="5" borderId="28" xfId="0" applyNumberFormat="1" applyFont="1" applyFill="1" applyBorder="1" applyAlignment="1">
      <alignment horizontal="center" vertical="center"/>
    </xf>
    <xf numFmtId="43" fontId="3" fillId="5" borderId="28" xfId="1" applyFont="1" applyFill="1" applyBorder="1" applyAlignment="1">
      <alignment horizontal="center" vertical="center"/>
    </xf>
    <xf numFmtId="43" fontId="3" fillId="5" borderId="18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17" fillId="5" borderId="21" xfId="0" applyNumberFormat="1" applyFont="1" applyFill="1" applyBorder="1" applyAlignment="1">
      <alignment vertical="center"/>
    </xf>
    <xf numFmtId="43" fontId="17" fillId="5" borderId="21" xfId="1" applyFont="1" applyFill="1" applyBorder="1" applyAlignment="1">
      <alignment vertical="center"/>
    </xf>
    <xf numFmtId="43" fontId="19" fillId="5" borderId="20" xfId="1" applyFont="1" applyFill="1" applyBorder="1" applyAlignment="1">
      <alignment vertical="center"/>
    </xf>
    <xf numFmtId="43" fontId="3" fillId="6" borderId="17" xfId="0" applyNumberFormat="1" applyFont="1" applyFill="1" applyBorder="1" applyAlignment="1">
      <alignment vertical="center"/>
    </xf>
    <xf numFmtId="0" fontId="3" fillId="6" borderId="17" xfId="0" applyFont="1" applyFill="1" applyBorder="1" applyAlignment="1">
      <alignment horizontal="center" vertical="center"/>
    </xf>
    <xf numFmtId="0" fontId="4" fillId="0" borderId="6" xfId="0" applyFont="1" applyBorder="1"/>
    <xf numFmtId="0" fontId="0" fillId="0" borderId="7" xfId="0" applyBorder="1"/>
    <xf numFmtId="0" fontId="3" fillId="0" borderId="7" xfId="0" applyFont="1" applyBorder="1"/>
    <xf numFmtId="0" fontId="1" fillId="0" borderId="7" xfId="1" applyNumberFormat="1" applyFont="1" applyBorder="1" applyAlignment="1">
      <alignment horizontal="center"/>
    </xf>
    <xf numFmtId="0" fontId="0" fillId="0" borderId="8" xfId="0" applyBorder="1"/>
    <xf numFmtId="0" fontId="0" fillId="0" borderId="12" xfId="0" applyBorder="1"/>
    <xf numFmtId="0" fontId="1" fillId="0" borderId="12" xfId="1" applyNumberFormat="1" applyFont="1" applyBorder="1" applyAlignment="1">
      <alignment horizontal="center"/>
    </xf>
    <xf numFmtId="0" fontId="0" fillId="0" borderId="13" xfId="0" applyBorder="1"/>
    <xf numFmtId="43" fontId="0" fillId="0" borderId="2" xfId="1" applyFont="1" applyBorder="1"/>
    <xf numFmtId="0" fontId="0" fillId="0" borderId="37" xfId="0" applyBorder="1"/>
    <xf numFmtId="0" fontId="3" fillId="0" borderId="11" xfId="0" applyFont="1" applyBorder="1" applyAlignment="1">
      <alignment horizontal="center"/>
    </xf>
    <xf numFmtId="43" fontId="0" fillId="0" borderId="12" xfId="0" applyNumberFormat="1" applyBorder="1"/>
    <xf numFmtId="43" fontId="3" fillId="0" borderId="12" xfId="0" applyNumberFormat="1" applyFont="1" applyBorder="1"/>
    <xf numFmtId="43" fontId="0" fillId="0" borderId="2" xfId="0" applyNumberFormat="1" applyBorder="1"/>
    <xf numFmtId="0" fontId="0" fillId="0" borderId="2" xfId="0" applyBorder="1"/>
    <xf numFmtId="0" fontId="1" fillId="0" borderId="10" xfId="1" applyNumberFormat="1" applyFont="1" applyBorder="1" applyAlignment="1">
      <alignment horizontal="center"/>
    </xf>
    <xf numFmtId="43" fontId="3" fillId="6" borderId="28" xfId="1" applyFont="1" applyFill="1" applyBorder="1" applyAlignment="1">
      <alignment horizontal="center" vertical="center" wrapText="1"/>
    </xf>
    <xf numFmtId="0" fontId="0" fillId="12" borderId="15" xfId="0" applyFill="1" applyBorder="1"/>
    <xf numFmtId="0" fontId="3" fillId="12" borderId="4" xfId="0" applyFont="1" applyFill="1" applyBorder="1" applyAlignment="1">
      <alignment horizontal="center" vertical="center"/>
    </xf>
    <xf numFmtId="43" fontId="0" fillId="12" borderId="16" xfId="1" applyFont="1" applyFill="1" applyBorder="1" applyProtection="1"/>
    <xf numFmtId="43" fontId="0" fillId="12" borderId="30" xfId="1" applyFont="1" applyFill="1" applyBorder="1" applyProtection="1"/>
    <xf numFmtId="43" fontId="0" fillId="12" borderId="17" xfId="1" applyFont="1" applyFill="1" applyBorder="1" applyProtection="1"/>
    <xf numFmtId="43" fontId="25" fillId="12" borderId="17" xfId="1" applyFont="1" applyFill="1" applyBorder="1" applyAlignment="1" applyProtection="1">
      <alignment vertical="center"/>
    </xf>
    <xf numFmtId="0" fontId="0" fillId="0" borderId="16" xfId="1" applyNumberFormat="1" applyFont="1" applyBorder="1" applyAlignment="1" applyProtection="1">
      <protection locked="0"/>
    </xf>
    <xf numFmtId="0" fontId="0" fillId="0" borderId="16" xfId="1" applyNumberFormat="1" applyFont="1" applyBorder="1" applyProtection="1">
      <protection locked="0"/>
    </xf>
    <xf numFmtId="43" fontId="0" fillId="0" borderId="17" xfId="1" applyFont="1" applyBorder="1" applyProtection="1">
      <protection locked="0"/>
    </xf>
    <xf numFmtId="43" fontId="0" fillId="0" borderId="21" xfId="1" applyFont="1" applyBorder="1" applyProtection="1">
      <protection locked="0"/>
    </xf>
    <xf numFmtId="0" fontId="3" fillId="12" borderId="4" xfId="0" applyFont="1" applyFill="1" applyBorder="1" applyAlignment="1">
      <alignment horizontal="center"/>
    </xf>
    <xf numFmtId="0" fontId="29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 applyProtection="1">
      <alignment horizontal="center" vertical="center"/>
      <protection locked="0"/>
    </xf>
    <xf numFmtId="0" fontId="29" fillId="7" borderId="15" xfId="0" applyFont="1" applyFill="1" applyBorder="1" applyAlignment="1">
      <alignment horizontal="center" vertical="center"/>
    </xf>
    <xf numFmtId="0" fontId="30" fillId="0" borderId="15" xfId="0" applyFont="1" applyBorder="1" applyAlignment="1">
      <alignment horizontal="center"/>
    </xf>
    <xf numFmtId="0" fontId="30" fillId="0" borderId="6" xfId="0" applyFont="1" applyBorder="1"/>
    <xf numFmtId="0" fontId="30" fillId="0" borderId="15" xfId="0" applyFont="1" applyBorder="1" applyAlignment="1">
      <alignment horizontal="center" vertical="center"/>
    </xf>
    <xf numFmtId="0" fontId="30" fillId="0" borderId="8" xfId="0" applyFont="1" applyBorder="1"/>
    <xf numFmtId="0" fontId="30" fillId="0" borderId="16" xfId="0" applyFont="1" applyBorder="1" applyAlignment="1">
      <alignment horizontal="center"/>
    </xf>
    <xf numFmtId="0" fontId="30" fillId="0" borderId="9" xfId="0" applyFont="1" applyBorder="1"/>
    <xf numFmtId="0" fontId="30" fillId="0" borderId="16" xfId="0" applyFont="1" applyBorder="1" applyAlignment="1">
      <alignment horizontal="center" vertical="center"/>
    </xf>
    <xf numFmtId="0" fontId="30" fillId="0" borderId="10" xfId="0" applyFont="1" applyBorder="1"/>
    <xf numFmtId="0" fontId="30" fillId="0" borderId="17" xfId="0" applyFont="1" applyBorder="1" applyAlignment="1">
      <alignment horizontal="center"/>
    </xf>
    <xf numFmtId="0" fontId="30" fillId="0" borderId="11" xfId="0" applyFont="1" applyBorder="1"/>
    <xf numFmtId="0" fontId="30" fillId="0" borderId="17" xfId="0" applyFont="1" applyBorder="1" applyAlignment="1">
      <alignment horizontal="center" vertical="center"/>
    </xf>
    <xf numFmtId="0" fontId="30" fillId="0" borderId="13" xfId="0" applyFont="1" applyBorder="1"/>
    <xf numFmtId="0" fontId="29" fillId="7" borderId="31" xfId="0" applyFont="1" applyFill="1" applyBorder="1" applyAlignment="1">
      <alignment horizontal="center" vertical="center"/>
    </xf>
    <xf numFmtId="0" fontId="30" fillId="0" borderId="16" xfId="0" applyFont="1" applyBorder="1"/>
    <xf numFmtId="0" fontId="30" fillId="0" borderId="17" xfId="0" applyFont="1" applyBorder="1"/>
    <xf numFmtId="0" fontId="30" fillId="0" borderId="16" xfId="0" applyFont="1" applyBorder="1" applyAlignment="1">
      <alignment wrapText="1"/>
    </xf>
    <xf numFmtId="0" fontId="30" fillId="0" borderId="16" xfId="0" applyFont="1" applyBorder="1" applyAlignment="1">
      <alignment vertical="center"/>
    </xf>
    <xf numFmtId="0" fontId="29" fillId="7" borderId="33" xfId="0" applyFont="1" applyFill="1" applyBorder="1" applyAlignment="1">
      <alignment horizontal="center" vertical="center"/>
    </xf>
    <xf numFmtId="43" fontId="0" fillId="12" borderId="42" xfId="1" applyFont="1" applyFill="1" applyBorder="1" applyProtection="1"/>
    <xf numFmtId="43" fontId="25" fillId="2" borderId="17" xfId="1" applyFont="1" applyFill="1" applyBorder="1" applyAlignment="1" applyProtection="1">
      <alignment vertical="center"/>
    </xf>
    <xf numFmtId="0" fontId="3" fillId="6" borderId="28" xfId="1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left"/>
    </xf>
    <xf numFmtId="0" fontId="29" fillId="7" borderId="5" xfId="0" applyFont="1" applyFill="1" applyBorder="1" applyAlignment="1">
      <alignment horizontal="left" vertical="center"/>
    </xf>
    <xf numFmtId="0" fontId="29" fillId="7" borderId="14" xfId="0" applyFont="1" applyFill="1" applyBorder="1" applyAlignment="1">
      <alignment horizontal="left" vertical="center"/>
    </xf>
    <xf numFmtId="0" fontId="29" fillId="7" borderId="27" xfId="0" applyFont="1" applyFill="1" applyBorder="1" applyAlignment="1">
      <alignment horizontal="left" vertical="center"/>
    </xf>
    <xf numFmtId="0" fontId="29" fillId="7" borderId="6" xfId="0" applyFont="1" applyFill="1" applyBorder="1" applyAlignment="1">
      <alignment horizontal="left" vertical="center"/>
    </xf>
    <xf numFmtId="0" fontId="29" fillId="7" borderId="7" xfId="0" applyFont="1" applyFill="1" applyBorder="1" applyAlignment="1">
      <alignment horizontal="left" vertical="center"/>
    </xf>
    <xf numFmtId="0" fontId="29" fillId="7" borderId="8" xfId="0" applyFont="1" applyFill="1" applyBorder="1" applyAlignment="1">
      <alignment horizontal="left" vertical="center"/>
    </xf>
    <xf numFmtId="0" fontId="29" fillId="7" borderId="38" xfId="0" applyFont="1" applyFill="1" applyBorder="1" applyAlignment="1">
      <alignment horizontal="left" vertical="center"/>
    </xf>
    <xf numFmtId="0" fontId="29" fillId="7" borderId="39" xfId="0" applyFont="1" applyFill="1" applyBorder="1" applyAlignment="1">
      <alignment horizontal="left" vertical="center"/>
    </xf>
    <xf numFmtId="0" fontId="29" fillId="7" borderId="40" xfId="0" applyFont="1" applyFill="1" applyBorder="1" applyAlignment="1">
      <alignment horizontal="left" vertical="center"/>
    </xf>
    <xf numFmtId="0" fontId="30" fillId="11" borderId="16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9" borderId="14" xfId="0" applyFont="1" applyFill="1" applyBorder="1" applyAlignment="1">
      <alignment horizontal="center"/>
    </xf>
    <xf numFmtId="0" fontId="3" fillId="9" borderId="27" xfId="0" applyFont="1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3" fillId="0" borderId="11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25" fillId="0" borderId="11" xfId="0" applyFont="1" applyBorder="1" applyAlignment="1">
      <alignment horizontal="left" vertical="center"/>
    </xf>
    <xf numFmtId="0" fontId="34" fillId="0" borderId="12" xfId="0" applyFont="1" applyBorder="1" applyAlignment="1">
      <alignment horizontal="left" vertical="center"/>
    </xf>
    <xf numFmtId="0" fontId="34" fillId="0" borderId="13" xfId="0" applyFont="1" applyBorder="1" applyAlignment="1">
      <alignment horizontal="left" vertical="center"/>
    </xf>
    <xf numFmtId="0" fontId="0" fillId="0" borderId="35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12" xfId="0" applyBorder="1" applyAlignment="1">
      <alignment horizontal="left"/>
    </xf>
    <xf numFmtId="0" fontId="3" fillId="9" borderId="5" xfId="0" applyFont="1" applyFill="1" applyBorder="1" applyAlignment="1" applyProtection="1">
      <alignment horizontal="center"/>
      <protection locked="0"/>
    </xf>
    <xf numFmtId="0" fontId="3" fillId="9" borderId="14" xfId="0" applyFont="1" applyFill="1" applyBorder="1" applyAlignment="1" applyProtection="1">
      <alignment horizontal="center"/>
      <protection locked="0"/>
    </xf>
    <xf numFmtId="0" fontId="3" fillId="9" borderId="27" xfId="0" applyFont="1" applyFill="1" applyBorder="1" applyAlignment="1" applyProtection="1">
      <alignment horizontal="center"/>
      <protection locked="0"/>
    </xf>
    <xf numFmtId="0" fontId="25" fillId="0" borderId="16" xfId="0" applyFont="1" applyBorder="1" applyAlignment="1">
      <alignment horizontal="center" vertical="center" textRotation="90"/>
    </xf>
    <xf numFmtId="0" fontId="3" fillId="9" borderId="4" xfId="0" applyFont="1" applyFill="1" applyBorder="1" applyAlignment="1">
      <alignment horizontal="center"/>
    </xf>
    <xf numFmtId="0" fontId="25" fillId="0" borderId="15" xfId="0" applyFont="1" applyBorder="1" applyAlignment="1">
      <alignment horizontal="center" vertical="center" textRotation="90"/>
    </xf>
    <xf numFmtId="0" fontId="25" fillId="0" borderId="17" xfId="0" applyFont="1" applyBorder="1" applyAlignment="1">
      <alignment horizontal="center" vertical="center" textRotation="90"/>
    </xf>
    <xf numFmtId="43" fontId="3" fillId="9" borderId="5" xfId="1" applyFont="1" applyFill="1" applyBorder="1" applyAlignment="1" applyProtection="1">
      <alignment horizontal="center"/>
      <protection locked="0"/>
    </xf>
    <xf numFmtId="43" fontId="3" fillId="9" borderId="27" xfId="1" applyFont="1" applyFill="1" applyBorder="1" applyAlignment="1" applyProtection="1">
      <alignment horizontal="center"/>
      <protection locked="0"/>
    </xf>
    <xf numFmtId="43" fontId="3" fillId="9" borderId="4" xfId="1" applyFont="1" applyFill="1" applyBorder="1" applyAlignment="1" applyProtection="1">
      <alignment horizontal="center"/>
      <protection locked="0"/>
    </xf>
    <xf numFmtId="0" fontId="10" fillId="5" borderId="4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49" fontId="17" fillId="0" borderId="0" xfId="0" applyNumberFormat="1" applyFont="1" applyAlignment="1">
      <alignment horizontal="center"/>
    </xf>
    <xf numFmtId="49" fontId="20" fillId="5" borderId="23" xfId="0" applyNumberFormat="1" applyFont="1" applyFill="1" applyBorder="1" applyAlignment="1">
      <alignment horizontal="center"/>
    </xf>
    <xf numFmtId="49" fontId="20" fillId="5" borderId="24" xfId="0" applyNumberFormat="1" applyFont="1" applyFill="1" applyBorder="1" applyAlignment="1">
      <alignment horizontal="center"/>
    </xf>
    <xf numFmtId="49" fontId="20" fillId="5" borderId="18" xfId="0" applyNumberFormat="1" applyFont="1" applyFill="1" applyBorder="1" applyAlignment="1">
      <alignment horizontal="center"/>
    </xf>
    <xf numFmtId="49" fontId="20" fillId="5" borderId="6" xfId="0" applyNumberFormat="1" applyFont="1" applyFill="1" applyBorder="1" applyAlignment="1">
      <alignment horizontal="center"/>
    </xf>
    <xf numFmtId="49" fontId="20" fillId="5" borderId="7" xfId="0" applyNumberFormat="1" applyFont="1" applyFill="1" applyBorder="1" applyAlignment="1">
      <alignment horizontal="center"/>
    </xf>
    <xf numFmtId="49" fontId="20" fillId="5" borderId="8" xfId="0" applyNumberFormat="1" applyFont="1" applyFill="1" applyBorder="1" applyAlignment="1">
      <alignment horizontal="center"/>
    </xf>
    <xf numFmtId="43" fontId="3" fillId="5" borderId="28" xfId="1" applyFont="1" applyFill="1" applyBorder="1" applyAlignment="1">
      <alignment horizontal="center" vertical="center" wrapText="1"/>
    </xf>
  </cellXfs>
  <cellStyles count="16">
    <cellStyle name="Bad" xfId="4" builtinId="27"/>
    <cellStyle name="Comma" xfId="1" builtinId="3"/>
    <cellStyle name="Comma 2" xfId="15" xr:uid="{00000000-0005-0000-0000-000002000000}"/>
    <cellStyle name="Good" xfId="3" builtinId="26"/>
    <cellStyle name="Normal" xfId="0" builtinId="0"/>
    <cellStyle name="Normal 2" xfId="2" xr:uid="{00000000-0005-0000-0000-000006000000}"/>
    <cellStyle name="Normal 5 3" xfId="14" xr:uid="{00000000-0005-0000-0000-000007000000}"/>
    <cellStyle name="rf1" xfId="8" xr:uid="{00000000-0005-0000-0000-000008000000}"/>
    <cellStyle name="rf17" xfId="9" xr:uid="{00000000-0005-0000-0000-000009000000}"/>
    <cellStyle name="rf2" xfId="10" xr:uid="{00000000-0005-0000-0000-00000A000000}"/>
    <cellStyle name="rf20" xfId="12" xr:uid="{00000000-0005-0000-0000-00000B000000}"/>
    <cellStyle name="rf3" xfId="11" xr:uid="{00000000-0005-0000-0000-00000C000000}"/>
    <cellStyle name="rf4" xfId="13" xr:uid="{00000000-0005-0000-0000-00000D000000}"/>
    <cellStyle name="rf5" xfId="5" xr:uid="{00000000-0005-0000-0000-00000E000000}"/>
    <cellStyle name="rf7" xfId="6" xr:uid="{00000000-0005-0000-0000-00000F000000}"/>
    <cellStyle name="rf8" xfId="7" xr:uid="{00000000-0005-0000-0000-000010000000}"/>
  </cellStyles>
  <dxfs count="5"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914400</xdr:colOff>
          <xdr:row>2</xdr:row>
          <xdr:rowOff>228600</xdr:rowOff>
        </xdr:to>
        <xdr:sp macro="" textlink="">
          <xdr:nvSpPr>
            <xdr:cNvPr id="26625" name="FILTER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7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914400</xdr:colOff>
          <xdr:row>2</xdr:row>
          <xdr:rowOff>228600</xdr:rowOff>
        </xdr:to>
        <xdr:sp macro="" textlink="">
          <xdr:nvSpPr>
            <xdr:cNvPr id="26626" name="HEADER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0700-000002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</xdr:col>
          <xdr:colOff>914400</xdr:colOff>
          <xdr:row>1</xdr:row>
          <xdr:rowOff>38100</xdr:rowOff>
        </xdr:to>
        <xdr:sp macro="" textlink="">
          <xdr:nvSpPr>
            <xdr:cNvPr id="27649" name="FILTER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B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</xdr:col>
          <xdr:colOff>914400</xdr:colOff>
          <xdr:row>1</xdr:row>
          <xdr:rowOff>38100</xdr:rowOff>
        </xdr:to>
        <xdr:sp macro="" textlink="">
          <xdr:nvSpPr>
            <xdr:cNvPr id="27650" name="HEADER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B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drawing" Target="../drawings/drawing1.xml"/><Relationship Id="rId7" Type="http://schemas.openxmlformats.org/officeDocument/2006/relationships/control" Target="../activeX/activeX2.x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8.bin"/><Relationship Id="rId6" Type="http://schemas.openxmlformats.org/officeDocument/2006/relationships/image" Target="../media/image1.emf"/><Relationship Id="rId5" Type="http://schemas.openxmlformats.org/officeDocument/2006/relationships/control" Target="../activeX/activeX1.xml"/><Relationship Id="rId4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drawing" Target="../drawings/drawing2.xml"/><Relationship Id="rId7" Type="http://schemas.openxmlformats.org/officeDocument/2006/relationships/control" Target="../activeX/activeX4.xml"/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11.bin"/><Relationship Id="rId6" Type="http://schemas.openxmlformats.org/officeDocument/2006/relationships/image" Target="../media/image3.emf"/><Relationship Id="rId5" Type="http://schemas.openxmlformats.org/officeDocument/2006/relationships/control" Target="../activeX/activeX3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B2:G43"/>
  <sheetViews>
    <sheetView workbookViewId="0">
      <selection activeCell="B2" sqref="B2:F2"/>
    </sheetView>
  </sheetViews>
  <sheetFormatPr defaultColWidth="9.109375" defaultRowHeight="14.4" x14ac:dyDescent="0.3"/>
  <cols>
    <col min="1" max="1" width="3.44140625" style="57" customWidth="1"/>
    <col min="2" max="2" width="9.109375" style="57"/>
    <col min="3" max="3" width="57.33203125" style="57" bestFit="1" customWidth="1"/>
    <col min="4" max="4" width="17.44140625" style="57" bestFit="1" customWidth="1"/>
    <col min="5" max="5" width="73.33203125" style="57" bestFit="1" customWidth="1"/>
    <col min="6" max="6" width="17.44140625" style="57" bestFit="1" customWidth="1"/>
    <col min="7" max="16384" width="9.109375" style="57"/>
  </cols>
  <sheetData>
    <row r="2" spans="2:7" ht="15.6" x14ac:dyDescent="0.3">
      <c r="B2" s="250" t="s">
        <v>0</v>
      </c>
      <c r="C2" s="250"/>
      <c r="D2" s="250"/>
      <c r="E2" s="250"/>
      <c r="F2" s="250"/>
    </row>
    <row r="3" spans="2:7" ht="15" thickBot="1" x14ac:dyDescent="0.35">
      <c r="C3" s="155"/>
    </row>
    <row r="4" spans="2:7" ht="15.75" customHeight="1" thickBot="1" x14ac:dyDescent="0.35">
      <c r="B4" s="251" t="s">
        <v>1</v>
      </c>
      <c r="C4" s="252"/>
      <c r="D4" s="252"/>
      <c r="E4" s="252"/>
      <c r="F4" s="253"/>
    </row>
    <row r="5" spans="2:7" ht="15.75" customHeight="1" thickBot="1" x14ac:dyDescent="0.35">
      <c r="B5" s="228" t="s">
        <v>2</v>
      </c>
      <c r="C5" s="228" t="s">
        <v>3</v>
      </c>
      <c r="D5" s="228" t="s">
        <v>4</v>
      </c>
      <c r="E5" s="228" t="s">
        <v>5</v>
      </c>
      <c r="F5" s="156" t="s">
        <v>6</v>
      </c>
    </row>
    <row r="6" spans="2:7" x14ac:dyDescent="0.3">
      <c r="B6" s="229">
        <v>1</v>
      </c>
      <c r="C6" s="230" t="s">
        <v>7</v>
      </c>
      <c r="D6" s="231" t="str">
        <f>IF('Part VIII - Revenue'!D8&gt;0,"Yes","No")</f>
        <v>No</v>
      </c>
      <c r="E6" s="232" t="s">
        <v>8</v>
      </c>
      <c r="F6" s="157"/>
      <c r="G6" s="158"/>
    </row>
    <row r="7" spans="2:7" x14ac:dyDescent="0.3">
      <c r="B7" s="233">
        <v>2</v>
      </c>
      <c r="C7" s="234" t="s">
        <v>9</v>
      </c>
      <c r="D7" s="235" t="str">
        <f>IF('Part VIII - Revenue'!D9&gt;0,"Yes","No")</f>
        <v>No</v>
      </c>
      <c r="E7" s="236" t="s">
        <v>10</v>
      </c>
      <c r="F7" s="154"/>
      <c r="G7" s="158"/>
    </row>
    <row r="8" spans="2:7" x14ac:dyDescent="0.3">
      <c r="B8" s="233">
        <v>3</v>
      </c>
      <c r="C8" s="234" t="s">
        <v>11</v>
      </c>
      <c r="D8" s="235" t="str">
        <f>IF('Part VIII - Revenue'!D10&gt;25000,"Yes","No")</f>
        <v>No</v>
      </c>
      <c r="E8" s="236" t="s">
        <v>12</v>
      </c>
      <c r="F8" s="154"/>
    </row>
    <row r="9" spans="2:7" x14ac:dyDescent="0.3">
      <c r="B9" s="233">
        <v>4</v>
      </c>
      <c r="C9" s="234" t="s">
        <v>13</v>
      </c>
      <c r="D9" s="235" t="str">
        <f>IF(ISNUMBER(MATCH("Adj-DS",SOR!F:F, 0)), "Yes", "No")</f>
        <v>No</v>
      </c>
      <c r="E9" s="236" t="s">
        <v>14</v>
      </c>
      <c r="F9" s="154"/>
    </row>
    <row r="10" spans="2:7" x14ac:dyDescent="0.3">
      <c r="B10" s="233">
        <v>5</v>
      </c>
      <c r="C10" s="234" t="s">
        <v>15</v>
      </c>
      <c r="D10" s="235" t="str">
        <f>IF(ISNUMBER(MATCH("Adj-UG",SOR!F:F, 0)), "Yes", "No")</f>
        <v>No</v>
      </c>
      <c r="E10" s="236" t="s">
        <v>14</v>
      </c>
      <c r="F10" s="154"/>
    </row>
    <row r="11" spans="2:7" x14ac:dyDescent="0.3">
      <c r="B11" s="233">
        <v>6</v>
      </c>
      <c r="C11" s="234" t="s">
        <v>16</v>
      </c>
      <c r="D11" s="235" t="str">
        <f>IF('Part VIII - Revenue'!E19&gt;0,"Yes","No")</f>
        <v>No</v>
      </c>
      <c r="E11" s="236" t="s">
        <v>17</v>
      </c>
      <c r="F11" s="154"/>
    </row>
    <row r="12" spans="2:7" x14ac:dyDescent="0.3">
      <c r="B12" s="233">
        <v>7</v>
      </c>
      <c r="C12" s="234" t="s">
        <v>18</v>
      </c>
      <c r="D12" s="235" t="str">
        <f>IF('Part VIII - Revenue'!E20&gt;0,"Yes","No")</f>
        <v>No</v>
      </c>
      <c r="E12" s="236" t="s">
        <v>19</v>
      </c>
      <c r="F12" s="154"/>
    </row>
    <row r="13" spans="2:7" x14ac:dyDescent="0.3">
      <c r="B13" s="233">
        <v>8</v>
      </c>
      <c r="C13" s="234" t="s">
        <v>20</v>
      </c>
      <c r="D13" s="235" t="str">
        <f>IF('Part IX - Expenses'!C19&gt;0,"Yes","No")</f>
        <v>No</v>
      </c>
      <c r="E13" s="236" t="s">
        <v>21</v>
      </c>
      <c r="F13" s="154"/>
    </row>
    <row r="14" spans="2:7" ht="15" thickBot="1" x14ac:dyDescent="0.35">
      <c r="B14" s="237">
        <v>9</v>
      </c>
      <c r="C14" s="238" t="s">
        <v>22</v>
      </c>
      <c r="D14" s="239" t="str">
        <f>+IF(('Part VIII - Revenue'!D6+'Part VIII - Revenue'!D33)&gt;15000,"Yes","No")</f>
        <v>No</v>
      </c>
      <c r="E14" s="240" t="s">
        <v>23</v>
      </c>
      <c r="F14" s="159"/>
    </row>
    <row r="15" spans="2:7" x14ac:dyDescent="0.3">
      <c r="B15" s="58"/>
    </row>
    <row r="16" spans="2:7" ht="15" thickBot="1" x14ac:dyDescent="0.35"/>
    <row r="17" spans="2:6" x14ac:dyDescent="0.3">
      <c r="B17" s="254" t="s">
        <v>24</v>
      </c>
      <c r="C17" s="255"/>
      <c r="D17" s="255"/>
      <c r="E17" s="255"/>
      <c r="F17" s="256"/>
    </row>
    <row r="18" spans="2:6" ht="15.75" customHeight="1" x14ac:dyDescent="0.3">
      <c r="B18" s="241" t="s">
        <v>2</v>
      </c>
      <c r="C18" s="165" t="s">
        <v>3</v>
      </c>
      <c r="D18" s="165" t="s">
        <v>4</v>
      </c>
      <c r="E18" s="165" t="s">
        <v>5</v>
      </c>
      <c r="F18" s="166" t="s">
        <v>6</v>
      </c>
    </row>
    <row r="19" spans="2:6" x14ac:dyDescent="0.3">
      <c r="B19" s="233">
        <v>1</v>
      </c>
      <c r="C19" s="242" t="s">
        <v>25</v>
      </c>
      <c r="D19" s="235" t="str">
        <f>IF(OR('Part IX - Expenses'!C4&gt;5000, 'Part IX - Expenses'!C5&gt;5000), "Yes", "No")</f>
        <v>No</v>
      </c>
      <c r="E19" s="242" t="s">
        <v>26</v>
      </c>
      <c r="F19" s="154"/>
    </row>
    <row r="20" spans="2:6" x14ac:dyDescent="0.3">
      <c r="B20" s="233">
        <v>2</v>
      </c>
      <c r="C20" s="242" t="s">
        <v>27</v>
      </c>
      <c r="D20" s="235" t="str">
        <f>+IF('Part IX - Expenses'!C18&gt;15000,"Yes","No")</f>
        <v>No</v>
      </c>
      <c r="E20" s="242" t="s">
        <v>23</v>
      </c>
      <c r="F20" s="154"/>
    </row>
    <row r="21" spans="2:6" x14ac:dyDescent="0.3">
      <c r="B21" s="233">
        <v>3</v>
      </c>
      <c r="C21" s="242" t="s">
        <v>28</v>
      </c>
      <c r="D21" s="235" t="str">
        <f>+IF('Part IX - Expenses'!C31&gt;0,"Yes","No")</f>
        <v>No</v>
      </c>
      <c r="E21" s="242" t="s">
        <v>29</v>
      </c>
      <c r="F21" s="154"/>
    </row>
    <row r="22" spans="2:6" ht="15" thickBot="1" x14ac:dyDescent="0.35">
      <c r="B22" s="237">
        <v>4</v>
      </c>
      <c r="C22" s="243" t="s">
        <v>30</v>
      </c>
      <c r="D22" s="159"/>
      <c r="E22" s="163"/>
      <c r="F22" s="162"/>
    </row>
    <row r="23" spans="2:6" customFormat="1" x14ac:dyDescent="0.3"/>
    <row r="24" spans="2:6" ht="15" thickBot="1" x14ac:dyDescent="0.35">
      <c r="B24" s="160"/>
      <c r="C24" s="161"/>
      <c r="D24" s="161"/>
      <c r="E24" s="161"/>
      <c r="F24" s="161"/>
    </row>
    <row r="25" spans="2:6" ht="15" thickBot="1" x14ac:dyDescent="0.35">
      <c r="B25" s="254" t="s">
        <v>31</v>
      </c>
      <c r="C25" s="255"/>
      <c r="D25" s="255"/>
      <c r="E25" s="255"/>
      <c r="F25" s="256"/>
    </row>
    <row r="26" spans="2:6" ht="15" thickBot="1" x14ac:dyDescent="0.35">
      <c r="B26" s="226" t="s">
        <v>2</v>
      </c>
      <c r="C26" s="226" t="s">
        <v>3</v>
      </c>
      <c r="D26" s="226" t="s">
        <v>4</v>
      </c>
      <c r="E26" s="226" t="s">
        <v>5</v>
      </c>
      <c r="F26" s="227" t="s">
        <v>6</v>
      </c>
    </row>
    <row r="27" spans="2:6" x14ac:dyDescent="0.3">
      <c r="B27" s="233">
        <v>1</v>
      </c>
      <c r="C27" s="242" t="s">
        <v>32</v>
      </c>
      <c r="D27" s="235" t="str">
        <f>+IF(('Part X - Balance Sheet'!E8+'Part X - Balance Sheet'!E27)&gt;0,"Yes","No")</f>
        <v>No</v>
      </c>
      <c r="E27" s="242" t="s">
        <v>33</v>
      </c>
      <c r="F27" s="154"/>
    </row>
    <row r="28" spans="2:6" x14ac:dyDescent="0.3">
      <c r="B28" s="233">
        <v>2</v>
      </c>
      <c r="C28" s="242" t="s">
        <v>34</v>
      </c>
      <c r="D28" s="154" t="s">
        <v>35</v>
      </c>
      <c r="E28" s="242" t="s">
        <v>33</v>
      </c>
      <c r="F28" s="154"/>
    </row>
    <row r="29" spans="2:6" x14ac:dyDescent="0.3">
      <c r="B29" s="233">
        <v>3</v>
      </c>
      <c r="C29" s="242" t="s">
        <v>36</v>
      </c>
      <c r="D29" s="235" t="str">
        <f>+IF('Part X - Balance Sheet'!E26&gt;0,"Yes","No")</f>
        <v>No</v>
      </c>
      <c r="E29" s="242" t="s">
        <v>37</v>
      </c>
      <c r="F29" s="154"/>
    </row>
    <row r="30" spans="2:6" x14ac:dyDescent="0.3">
      <c r="B30" s="233">
        <v>4</v>
      </c>
      <c r="C30" s="242" t="s">
        <v>38</v>
      </c>
      <c r="D30" s="235" t="str">
        <f>IF('Part X - Balance Sheet'!E15&gt;0,"Yes","No")</f>
        <v>No</v>
      </c>
      <c r="E30" s="242" t="s">
        <v>39</v>
      </c>
      <c r="F30" s="154"/>
    </row>
    <row r="31" spans="2:6" x14ac:dyDescent="0.3">
      <c r="B31" s="233">
        <v>5</v>
      </c>
      <c r="C31" s="242" t="s">
        <v>40</v>
      </c>
      <c r="D31" s="154" t="s">
        <v>35</v>
      </c>
      <c r="E31" s="242" t="s">
        <v>41</v>
      </c>
      <c r="F31" s="154"/>
    </row>
    <row r="32" spans="2:6" ht="15" thickBot="1" x14ac:dyDescent="0.35">
      <c r="B32" s="237">
        <v>6</v>
      </c>
      <c r="C32" s="243" t="s">
        <v>42</v>
      </c>
      <c r="D32" s="159" t="s">
        <v>35</v>
      </c>
      <c r="E32" s="243" t="s">
        <v>43</v>
      </c>
      <c r="F32" s="159"/>
    </row>
    <row r="33" spans="2:6" x14ac:dyDescent="0.3">
      <c r="B33" s="160"/>
      <c r="C33" s="161"/>
      <c r="D33" s="161"/>
      <c r="E33" s="161"/>
      <c r="F33" s="161"/>
    </row>
    <row r="34" spans="2:6" ht="15" thickBot="1" x14ac:dyDescent="0.35">
      <c r="B34" s="161"/>
      <c r="C34" s="161"/>
      <c r="D34" s="161"/>
      <c r="E34" s="161"/>
      <c r="F34" s="161"/>
    </row>
    <row r="35" spans="2:6" ht="15" thickBot="1" x14ac:dyDescent="0.35">
      <c r="B35" s="257" t="s">
        <v>44</v>
      </c>
      <c r="C35" s="258"/>
      <c r="D35" s="258"/>
      <c r="E35" s="258"/>
      <c r="F35" s="259"/>
    </row>
    <row r="36" spans="2:6" ht="15.75" customHeight="1" thickBot="1" x14ac:dyDescent="0.35">
      <c r="B36" s="241" t="s">
        <v>2</v>
      </c>
      <c r="C36" s="165" t="s">
        <v>3</v>
      </c>
      <c r="D36" s="165" t="s">
        <v>4</v>
      </c>
      <c r="E36" s="165" t="s">
        <v>5</v>
      </c>
      <c r="F36" s="246" t="s">
        <v>6</v>
      </c>
    </row>
    <row r="37" spans="2:6" x14ac:dyDescent="0.3">
      <c r="B37" s="233">
        <v>1</v>
      </c>
      <c r="C37" s="242" t="s">
        <v>45</v>
      </c>
      <c r="D37" s="154" t="s">
        <v>35</v>
      </c>
      <c r="E37" s="260"/>
      <c r="F37" s="260"/>
    </row>
    <row r="38" spans="2:6" x14ac:dyDescent="0.3">
      <c r="B38" s="233">
        <v>2</v>
      </c>
      <c r="C38" s="242" t="s">
        <v>46</v>
      </c>
      <c r="D38" s="154" t="s">
        <v>47</v>
      </c>
      <c r="E38" s="260"/>
      <c r="F38" s="260"/>
    </row>
    <row r="39" spans="2:6" x14ac:dyDescent="0.3">
      <c r="B39" s="233">
        <v>3</v>
      </c>
      <c r="C39" s="242" t="s">
        <v>48</v>
      </c>
      <c r="D39" s="154" t="s">
        <v>35</v>
      </c>
      <c r="E39" s="260"/>
      <c r="F39" s="260"/>
    </row>
    <row r="40" spans="2:6" x14ac:dyDescent="0.3">
      <c r="B40" s="235">
        <v>4</v>
      </c>
      <c r="C40" s="242" t="s">
        <v>49</v>
      </c>
      <c r="D40" s="154" t="s">
        <v>35</v>
      </c>
      <c r="E40" s="242" t="s">
        <v>50</v>
      </c>
      <c r="F40" s="154"/>
    </row>
    <row r="41" spans="2:6" ht="28.8" x14ac:dyDescent="0.3">
      <c r="B41" s="235">
        <v>5</v>
      </c>
      <c r="C41" s="244" t="s">
        <v>51</v>
      </c>
      <c r="D41" s="154" t="s">
        <v>35</v>
      </c>
      <c r="E41" s="245" t="s">
        <v>52</v>
      </c>
      <c r="F41" s="154"/>
    </row>
    <row r="42" spans="2:6" x14ac:dyDescent="0.3">
      <c r="B42" s="235">
        <v>6</v>
      </c>
      <c r="C42" s="244" t="s">
        <v>53</v>
      </c>
      <c r="D42" s="154" t="s">
        <v>35</v>
      </c>
      <c r="E42" s="242" t="s">
        <v>54</v>
      </c>
      <c r="F42" s="154"/>
    </row>
    <row r="43" spans="2:6" ht="15" thickBot="1" x14ac:dyDescent="0.35">
      <c r="B43" s="239">
        <v>7</v>
      </c>
      <c r="C43" s="243" t="s">
        <v>55</v>
      </c>
      <c r="D43" s="159" t="s">
        <v>35</v>
      </c>
      <c r="E43" s="243" t="s">
        <v>56</v>
      </c>
      <c r="F43" s="159"/>
    </row>
  </sheetData>
  <sheetProtection algorithmName="SHA-512" hashValue="oJNiADqrxglsRk5WUKUl/4FmBBLS3JqpGK8OmWQ6TvejxWDZEAScsI7B7hOF/eiKwRh9Xq/wDA1CrPSnkK+0sQ==" saltValue="+taWDkc3xTbHjCVueuNtQg==" spinCount="100000" sheet="1" objects="1"/>
  <protectedRanges>
    <protectedRange algorithmName="SHA-512" hashValue="hmq3mx1mSB+V93VH8wmvz3d2C1jk0a9h+wspulti/3M4i5l+h0IdXOGBFRKRXU59z0hDB3BWi17UHUbzcuEkkA==" saltValue="eDBbQNuHdEqWbkTCv7B18Q==" spinCount="100000" sqref="D6:D14 D37:D43 D19:D21 D27:D32" name="Range1"/>
    <protectedRange sqref="F40:F43" name="Range2"/>
    <protectedRange sqref="F19:F21 F27:F32" name="Range3"/>
  </protectedRanges>
  <mergeCells count="7">
    <mergeCell ref="B2:F2"/>
    <mergeCell ref="B4:F4"/>
    <mergeCell ref="B17:F17"/>
    <mergeCell ref="B35:F35"/>
    <mergeCell ref="E37:E39"/>
    <mergeCell ref="F37:F39"/>
    <mergeCell ref="B25:F25"/>
  </mergeCells>
  <conditionalFormatting sqref="B20:E21 F20:F22">
    <cfRule type="expression" dxfId="4" priority="9">
      <formula>$D20="No"</formula>
    </cfRule>
  </conditionalFormatting>
  <conditionalFormatting sqref="B6:F14">
    <cfRule type="expression" dxfId="3" priority="4">
      <formula>$D6="No"</formula>
    </cfRule>
  </conditionalFormatting>
  <conditionalFormatting sqref="B19:F19">
    <cfRule type="expression" dxfId="2" priority="10">
      <formula>$D19="No"</formula>
    </cfRule>
  </conditionalFormatting>
  <conditionalFormatting sqref="B27:F32">
    <cfRule type="expression" dxfId="1" priority="1">
      <formula>$D27="No"</formula>
    </cfRule>
  </conditionalFormatting>
  <conditionalFormatting sqref="B40:F43">
    <cfRule type="expression" dxfId="0" priority="5">
      <formula>$D40="No"</formula>
    </cfRule>
  </conditionalFormatting>
  <dataValidations count="1">
    <dataValidation type="list" showInputMessage="1" showErrorMessage="1" sqref="D6:D15 F6:F14 D37:D43 F40:F43 D24 F19:F22 D19:D22 D27:D33 F27:F32" xr:uid="{00000000-0002-0000-0100-000000000000}">
      <formula1>"Yes,No"</formula1>
    </dataValidation>
  </dataValidations>
  <pageMargins left="0.7" right="0.7" top="0.75" bottom="0.75" header="0.3" footer="0.3"/>
  <pageSetup orientation="portrait" verticalDpi="0" r:id="rId1"/>
  <customProperties>
    <customPr name="OrphanNamesChecke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rgb="FF92D050"/>
  </sheetPr>
  <dimension ref="A1:K66"/>
  <sheetViews>
    <sheetView zoomScaleNormal="100" workbookViewId="0">
      <selection activeCell="B9" sqref="B9:C9"/>
    </sheetView>
  </sheetViews>
  <sheetFormatPr defaultColWidth="9.109375" defaultRowHeight="14.4" x14ac:dyDescent="0.3"/>
  <cols>
    <col min="1" max="1" width="7.88671875" style="58" customWidth="1"/>
    <col min="2" max="2" width="62" style="57" bestFit="1" customWidth="1"/>
    <col min="3" max="3" width="16.33203125" style="57" customWidth="1"/>
    <col min="4" max="4" width="16.6640625" style="61" customWidth="1"/>
    <col min="5" max="9" width="16.6640625" style="57" customWidth="1"/>
    <col min="10" max="16384" width="9.109375" style="57"/>
  </cols>
  <sheetData>
    <row r="1" spans="1:11" ht="15" thickBot="1" x14ac:dyDescent="0.35">
      <c r="A1" s="8"/>
      <c r="B1"/>
      <c r="C1"/>
      <c r="D1" s="85"/>
      <c r="E1"/>
      <c r="F1"/>
      <c r="G1"/>
      <c r="H1"/>
    </row>
    <row r="2" spans="1:11" ht="15" thickBot="1" x14ac:dyDescent="0.35">
      <c r="A2" s="261" t="s">
        <v>57</v>
      </c>
      <c r="B2" s="262"/>
      <c r="C2" s="262"/>
      <c r="D2" s="262"/>
      <c r="E2" s="262"/>
      <c r="F2" s="262"/>
      <c r="G2" s="262"/>
      <c r="H2" s="263"/>
      <c r="I2" s="215"/>
    </row>
    <row r="3" spans="1:11" s="65" customFormat="1" ht="43.8" thickBot="1" x14ac:dyDescent="0.35">
      <c r="A3" s="74" t="s">
        <v>58</v>
      </c>
      <c r="B3" s="266" t="s">
        <v>59</v>
      </c>
      <c r="C3" s="267"/>
      <c r="D3" s="268"/>
      <c r="E3" s="168" t="s">
        <v>60</v>
      </c>
      <c r="F3" s="168" t="s">
        <v>61</v>
      </c>
      <c r="G3" s="168" t="s">
        <v>62</v>
      </c>
      <c r="H3" s="168" t="s">
        <v>63</v>
      </c>
      <c r="I3" s="216" t="s">
        <v>64</v>
      </c>
    </row>
    <row r="4" spans="1:11" x14ac:dyDescent="0.3">
      <c r="A4" s="45" t="s">
        <v>65</v>
      </c>
      <c r="B4" s="270" t="s">
        <v>66</v>
      </c>
      <c r="C4" s="272"/>
      <c r="D4" s="51">
        <f>+SUMIF(SOR!$F:$F,'Part VIII - Revenue'!$A4,SOR!$B:$B)</f>
        <v>0</v>
      </c>
      <c r="E4" s="54"/>
      <c r="F4" s="54"/>
      <c r="G4" s="54"/>
      <c r="H4" s="54"/>
      <c r="I4" s="217">
        <f>+SUMIF(SOR!$H:$H,'Part VIII - Revenue'!$A4,SOR!$G:$G)</f>
        <v>0</v>
      </c>
    </row>
    <row r="5" spans="1:11" x14ac:dyDescent="0.3">
      <c r="A5" s="45" t="s">
        <v>67</v>
      </c>
      <c r="B5" s="264" t="s">
        <v>68</v>
      </c>
      <c r="C5" s="265"/>
      <c r="D5" s="51">
        <f>+SUMIF(SOR!$F:$F,'Part VIII - Revenue'!$A5,SOR!$B:$B)</f>
        <v>0</v>
      </c>
      <c r="E5" s="54"/>
      <c r="F5" s="54"/>
      <c r="G5" s="54"/>
      <c r="H5" s="54"/>
      <c r="I5" s="217">
        <f>+SUMIF(SOR!$H:$H,'Part VIII - Revenue'!$A5,SOR!$G:$G)</f>
        <v>0</v>
      </c>
    </row>
    <row r="6" spans="1:11" x14ac:dyDescent="0.3">
      <c r="A6" s="45" t="s">
        <v>69</v>
      </c>
      <c r="B6" s="264" t="s">
        <v>70</v>
      </c>
      <c r="C6" s="265"/>
      <c r="D6" s="51">
        <f>+SUMIF(SOR!$F:$F,'Part VIII - Revenue'!$A6,SOR!$B:$B)</f>
        <v>0</v>
      </c>
      <c r="E6" s="54"/>
      <c r="F6" s="54"/>
      <c r="G6" s="54"/>
      <c r="H6" s="54"/>
      <c r="I6" s="217">
        <f>+SUMIF(SOR!$H:$H,'Part VIII - Revenue'!$A6,SOR!$G:$G)</f>
        <v>0</v>
      </c>
    </row>
    <row r="7" spans="1:11" x14ac:dyDescent="0.3">
      <c r="A7" s="45" t="s">
        <v>71</v>
      </c>
      <c r="B7" s="264" t="s">
        <v>72</v>
      </c>
      <c r="C7" s="265"/>
      <c r="D7" s="51">
        <f>+SUMIF(SOR!$F:$F,'Part VIII - Revenue'!$A7,SOR!$B:$B)</f>
        <v>0</v>
      </c>
      <c r="E7" s="54"/>
      <c r="F7" s="54"/>
      <c r="G7" s="54"/>
      <c r="H7" s="54"/>
      <c r="I7" s="217">
        <f>+SUMIF(SOR!$H:$H,'Part VIII - Revenue'!$A7,SOR!$G:$G)</f>
        <v>0</v>
      </c>
    </row>
    <row r="8" spans="1:11" x14ac:dyDescent="0.3">
      <c r="A8" s="45" t="s">
        <v>73</v>
      </c>
      <c r="B8" s="264" t="s">
        <v>74</v>
      </c>
      <c r="C8" s="265"/>
      <c r="D8" s="51">
        <f>+SUMIF(SOR!$F:$F,'Part VIII - Revenue'!$A8,SOR!$B:$B)</f>
        <v>0</v>
      </c>
      <c r="E8" s="54"/>
      <c r="F8" s="54"/>
      <c r="G8" s="54"/>
      <c r="H8" s="54"/>
      <c r="I8" s="217">
        <f>+SUMIF(SOR!$H:$H,'Part VIII - Revenue'!$A8,SOR!$G:$G)</f>
        <v>0</v>
      </c>
    </row>
    <row r="9" spans="1:11" x14ac:dyDescent="0.3">
      <c r="A9" s="45" t="s">
        <v>75</v>
      </c>
      <c r="B9" s="264" t="s">
        <v>76</v>
      </c>
      <c r="C9" s="265"/>
      <c r="D9" s="51">
        <f>+SUMIF(SOR!$F:$F,'Part VIII - Revenue'!$A9,SOR!$B:$B)+SUMIF(SOR!$F:$F,'Part VIII - Revenue'!$A10,SOR!$B:$B)</f>
        <v>0</v>
      </c>
      <c r="E9" s="54"/>
      <c r="F9" s="54"/>
      <c r="G9" s="54"/>
      <c r="H9" s="54"/>
      <c r="I9" s="217">
        <f>+SUMIF(SOR!$H:$H,'Part VIII - Revenue'!$A9,SOR!$G:$G)</f>
        <v>0</v>
      </c>
    </row>
    <row r="10" spans="1:11" x14ac:dyDescent="0.3">
      <c r="A10" s="45" t="s">
        <v>77</v>
      </c>
      <c r="B10" s="264" t="s">
        <v>78</v>
      </c>
      <c r="C10" s="265"/>
      <c r="D10" s="51">
        <f>+SUMIF(SOR!$F:$F,'Part VIII - Revenue'!$A10,SOR!$B:$B)</f>
        <v>0</v>
      </c>
      <c r="E10" s="54"/>
      <c r="F10" s="54"/>
      <c r="G10" s="54"/>
      <c r="H10" s="54"/>
      <c r="I10" s="217">
        <f>+SUMIF(SOR!$H:$H,'Part VIII - Revenue'!$A10,SOR!$G:$G)</f>
        <v>0</v>
      </c>
    </row>
    <row r="11" spans="1:11" ht="15" thickBot="1" x14ac:dyDescent="0.35">
      <c r="A11" s="169" t="s">
        <v>79</v>
      </c>
      <c r="B11" s="273" t="s">
        <v>80</v>
      </c>
      <c r="C11" s="274"/>
      <c r="D11" s="51"/>
      <c r="E11" s="51">
        <f>+SUM(D4:D9)</f>
        <v>0</v>
      </c>
      <c r="F11" s="54"/>
      <c r="G11" s="54"/>
      <c r="H11" s="54"/>
      <c r="I11" s="217">
        <f>SUM(I4:I10)</f>
        <v>0</v>
      </c>
    </row>
    <row r="12" spans="1:11" ht="16.2" x14ac:dyDescent="0.45">
      <c r="A12" s="170">
        <v>2</v>
      </c>
      <c r="B12" s="270" t="s">
        <v>81</v>
      </c>
      <c r="C12" s="272"/>
      <c r="D12" s="75" t="s">
        <v>82</v>
      </c>
      <c r="E12" s="76"/>
      <c r="F12" s="76"/>
      <c r="G12" s="76"/>
      <c r="H12" s="76"/>
      <c r="I12" s="217"/>
    </row>
    <row r="13" spans="1:11" x14ac:dyDescent="0.3">
      <c r="A13" s="45" t="s">
        <v>83</v>
      </c>
      <c r="B13" s="264" t="str">
        <f>IFERROR(+INDEX(SOR!A:F,MATCH('Part VIII - Revenue'!A13,SOR!F:F,0),1),"")</f>
        <v/>
      </c>
      <c r="C13" s="265"/>
      <c r="D13" s="221"/>
      <c r="E13" s="71">
        <f t="shared" ref="E13:E15" si="0">SUM(F13:H13)</f>
        <v>0</v>
      </c>
      <c r="F13" s="71">
        <f>+SUMIF(SOR!$F:$F,'Part VIII - Revenue'!$A:$A,SOR!C:C)</f>
        <v>0</v>
      </c>
      <c r="G13" s="71">
        <f>+SUMIF(SOR!$F:$F,'Part VIII - Revenue'!$A:$A,SOR!D:D)</f>
        <v>0</v>
      </c>
      <c r="H13" s="71">
        <f>+SUMIF(SOR!$F:$F,'Part VIII - Revenue'!$A:$A,SOR!E:E)</f>
        <v>0</v>
      </c>
      <c r="I13" s="217">
        <f>+SUMIF(SOR!$H:$H,'Part VIII - Revenue'!$A13,SOR!$G:$G)</f>
        <v>0</v>
      </c>
      <c r="J13" s="59"/>
      <c r="K13" s="59"/>
    </row>
    <row r="14" spans="1:11" x14ac:dyDescent="0.3">
      <c r="A14" s="45" t="s">
        <v>84</v>
      </c>
      <c r="B14" s="264" t="str">
        <f>IFERROR(+INDEX(SOR!A:F,MATCH('Part VIII - Revenue'!A14,SOR!F:F,0),1),"")</f>
        <v/>
      </c>
      <c r="C14" s="265"/>
      <c r="D14" s="222"/>
      <c r="E14" s="51">
        <f t="shared" si="0"/>
        <v>0</v>
      </c>
      <c r="F14" s="71">
        <f>+SUMIF(SOR!$F:$F,'Part VIII - Revenue'!$A:$A,SOR!C:C)</f>
        <v>0</v>
      </c>
      <c r="G14" s="71">
        <f>+SUMIF(SOR!$F:$F,'Part VIII - Revenue'!$A:$A,SOR!D:D)</f>
        <v>0</v>
      </c>
      <c r="H14" s="71">
        <f>+SUMIF(SOR!$F:$F,'Part VIII - Revenue'!$A:$A,SOR!E:E)</f>
        <v>0</v>
      </c>
      <c r="I14" s="217">
        <f>+SUMIF(SOR!$H:$H,'Part VIII - Revenue'!$A14,SOR!$G:$G)</f>
        <v>0</v>
      </c>
    </row>
    <row r="15" spans="1:11" x14ac:dyDescent="0.3">
      <c r="A15" s="45" t="s">
        <v>85</v>
      </c>
      <c r="B15" s="264" t="str">
        <f>IFERROR(+INDEX(SOR!A:F,MATCH('Part VIII - Revenue'!A15,SOR!F:F,0),1),"")</f>
        <v/>
      </c>
      <c r="C15" s="265"/>
      <c r="D15" s="66"/>
      <c r="E15" s="51">
        <f t="shared" si="0"/>
        <v>0</v>
      </c>
      <c r="F15" s="71">
        <f>+SUMIF(SOR!$F:$F,'Part VIII - Revenue'!$A:$A,SOR!C:C)</f>
        <v>0</v>
      </c>
      <c r="G15" s="71">
        <f>+SUMIF(SOR!$F:$F,'Part VIII - Revenue'!$A:$A,SOR!D:D)</f>
        <v>0</v>
      </c>
      <c r="H15" s="71">
        <f>+SUMIF(SOR!$F:$F,'Part VIII - Revenue'!$A:$A,SOR!E:E)</f>
        <v>0</v>
      </c>
      <c r="I15" s="217">
        <f>+SUMIF(SOR!$H:$H,'Part VIII - Revenue'!$A15,SOR!$G:$G)</f>
        <v>0</v>
      </c>
    </row>
    <row r="16" spans="1:11" x14ac:dyDescent="0.3">
      <c r="A16" s="45" t="s">
        <v>86</v>
      </c>
      <c r="B16" s="264" t="str">
        <f>IFERROR(+INDEX(SOR!A:F,MATCH('Part VIII - Revenue'!A16,SOR!F:F,0),1),"")</f>
        <v/>
      </c>
      <c r="C16" s="265"/>
      <c r="D16" s="66"/>
      <c r="E16" s="51">
        <f t="shared" ref="E16:E22" si="1">SUM(F16:H16)</f>
        <v>0</v>
      </c>
      <c r="F16" s="71">
        <f>+SUMIF(SOR!$F:$F,'Part VIII - Revenue'!$A:$A,SOR!C:C)</f>
        <v>0</v>
      </c>
      <c r="G16" s="71">
        <f>+SUMIF(SOR!$F:$F,'Part VIII - Revenue'!$A:$A,SOR!D:D)</f>
        <v>0</v>
      </c>
      <c r="H16" s="71">
        <f>+SUMIF(SOR!$F:$F,'Part VIII - Revenue'!$A:$A,SOR!E:E)</f>
        <v>0</v>
      </c>
      <c r="I16" s="217">
        <f>+SUMIF(SOR!$H:$H,'Part VIII - Revenue'!$A16,SOR!$G:$G)</f>
        <v>0</v>
      </c>
    </row>
    <row r="17" spans="1:9" x14ac:dyDescent="0.3">
      <c r="A17" s="45" t="s">
        <v>87</v>
      </c>
      <c r="B17" s="264" t="str">
        <f>IFERROR(+INDEX(SOR!A:F,MATCH('Part VIII - Revenue'!A17,SOR!F:F,0),1),"")</f>
        <v/>
      </c>
      <c r="C17" s="265"/>
      <c r="D17" s="66"/>
      <c r="E17" s="51">
        <f t="shared" si="1"/>
        <v>0</v>
      </c>
      <c r="F17" s="71">
        <f>+SUMIF(SOR!$F:$F,'Part VIII - Revenue'!$A:$A,SOR!C:C)</f>
        <v>0</v>
      </c>
      <c r="G17" s="71">
        <f>+SUMIF(SOR!$F:$F,'Part VIII - Revenue'!$A:$A,SOR!D:D)</f>
        <v>0</v>
      </c>
      <c r="H17" s="71">
        <f>+SUMIF(SOR!$F:$F,'Part VIII - Revenue'!$A:$A,SOR!E:E)</f>
        <v>0</v>
      </c>
      <c r="I17" s="217">
        <f>+SUMIF(SOR!$H:$H,'Part VIII - Revenue'!$A17,SOR!$G:$G)</f>
        <v>0</v>
      </c>
    </row>
    <row r="18" spans="1:9" ht="15" thickBot="1" x14ac:dyDescent="0.35">
      <c r="A18" s="45" t="s">
        <v>88</v>
      </c>
      <c r="B18" s="264" t="s">
        <v>89</v>
      </c>
      <c r="C18" s="265"/>
      <c r="D18" s="223"/>
      <c r="E18" s="51">
        <f t="shared" si="1"/>
        <v>0</v>
      </c>
      <c r="F18" s="71">
        <f>+SUMIF(SOR!$F:$F,'Part VIII - Revenue'!$A:$A,SOR!C:C)</f>
        <v>0</v>
      </c>
      <c r="G18" s="71">
        <f>+SUMIF(SOR!$F:$F,'Part VIII - Revenue'!$A:$A,SOR!D:D)</f>
        <v>0</v>
      </c>
      <c r="H18" s="71">
        <f>+SUMIF(SOR!$F:$F,'Part VIII - Revenue'!$A:$A,SOR!E:E)</f>
        <v>0</v>
      </c>
      <c r="I18" s="217">
        <f>+SUMIF(SOR!$H:$H,'Part VIII - Revenue'!$A18,SOR!$G:$G)</f>
        <v>0</v>
      </c>
    </row>
    <row r="19" spans="1:9" ht="15" thickBot="1" x14ac:dyDescent="0.35">
      <c r="A19" s="77" t="s">
        <v>90</v>
      </c>
      <c r="B19" s="275" t="s">
        <v>91</v>
      </c>
      <c r="C19" s="274"/>
      <c r="D19" s="79"/>
      <c r="E19" s="72">
        <f>+SUM(E13:E18)</f>
        <v>0</v>
      </c>
      <c r="F19" s="73"/>
      <c r="G19" s="73"/>
      <c r="H19" s="73"/>
      <c r="I19" s="217">
        <f>SUM(I13:I18)</f>
        <v>0</v>
      </c>
    </row>
    <row r="20" spans="1:9" x14ac:dyDescent="0.3">
      <c r="A20" s="45">
        <v>3</v>
      </c>
      <c r="B20" s="270" t="s">
        <v>92</v>
      </c>
      <c r="C20" s="271"/>
      <c r="D20" s="272"/>
      <c r="E20" s="51">
        <f>+SUM(F20:H20)</f>
        <v>0</v>
      </c>
      <c r="F20" s="71">
        <f>+SUMIF(SOR!$F:$F,'Part VIII - Revenue'!$A:$A,SOR!C:C)</f>
        <v>0</v>
      </c>
      <c r="G20" s="71">
        <f>+SUMIF(SOR!$F:$F,'Part VIII - Revenue'!$A:$A,SOR!D:D)</f>
        <v>0</v>
      </c>
      <c r="H20" s="71">
        <f>+SUMIF(SOR!$F:$F,'Part VIII - Revenue'!$A:$A,SOR!E:E)</f>
        <v>0</v>
      </c>
      <c r="I20" s="217">
        <f>+SUMIF(SOR!$H:$H,'Part VIII - Revenue'!$A20,SOR!$G:$G)</f>
        <v>0</v>
      </c>
    </row>
    <row r="21" spans="1:9" x14ac:dyDescent="0.3">
      <c r="A21" s="45">
        <v>4</v>
      </c>
      <c r="B21" s="264" t="s">
        <v>93</v>
      </c>
      <c r="C21" s="269"/>
      <c r="D21" s="265"/>
      <c r="E21" s="51">
        <f t="shared" si="1"/>
        <v>0</v>
      </c>
      <c r="F21" s="71">
        <f>+SUMIF(SOR!$F:$F,'Part VIII - Revenue'!$A:$A,SOR!C:C)</f>
        <v>0</v>
      </c>
      <c r="G21" s="71">
        <f>+SUMIF(SOR!$F:$F,'Part VIII - Revenue'!$A:$A,SOR!D:D)</f>
        <v>0</v>
      </c>
      <c r="H21" s="71">
        <f>+SUMIF(SOR!$F:$F,'Part VIII - Revenue'!$A:$A,SOR!E:E)</f>
        <v>0</v>
      </c>
      <c r="I21" s="217">
        <f>+SUMIF(SOR!$H:$H,'Part VIII - Revenue'!$A21,SOR!$G:$G)</f>
        <v>0</v>
      </c>
    </row>
    <row r="22" spans="1:9" ht="15" thickBot="1" x14ac:dyDescent="0.35">
      <c r="A22" s="45">
        <v>5</v>
      </c>
      <c r="B22" s="264" t="s">
        <v>94</v>
      </c>
      <c r="C22" s="269"/>
      <c r="D22" s="265"/>
      <c r="E22" s="51">
        <f t="shared" si="1"/>
        <v>0</v>
      </c>
      <c r="F22" s="71">
        <f>+SUMIF(SOR!$F:$F,'Part VIII - Revenue'!$A:$A,SOR!C:C)</f>
        <v>0</v>
      </c>
      <c r="G22" s="71">
        <f>+SUMIF(SOR!$F:$F,'Part VIII - Revenue'!$A:$A,SOR!D:D)</f>
        <v>0</v>
      </c>
      <c r="H22" s="71">
        <f>+SUMIF(SOR!$F:$F,'Part VIII - Revenue'!$A:$A,SOR!E:E)</f>
        <v>0</v>
      </c>
      <c r="I22" s="217">
        <f>+SUMIF(SOR!$H:$H,'Part VIII - Revenue'!$A22,SOR!$G:$G)</f>
        <v>0</v>
      </c>
    </row>
    <row r="23" spans="1:9" ht="15" thickBot="1" x14ac:dyDescent="0.35">
      <c r="A23" s="45"/>
      <c r="B23" s="89"/>
      <c r="C23" s="145" t="s">
        <v>95</v>
      </c>
      <c r="D23" s="171" t="s">
        <v>96</v>
      </c>
      <c r="E23" s="54"/>
      <c r="F23" s="54"/>
      <c r="G23" s="54"/>
      <c r="H23" s="54"/>
      <c r="I23" s="217"/>
    </row>
    <row r="24" spans="1:9" x14ac:dyDescent="0.3">
      <c r="A24" s="45" t="s">
        <v>97</v>
      </c>
      <c r="B24" s="89" t="s">
        <v>98</v>
      </c>
      <c r="C24" s="51">
        <f>+SUMIF(SOR!F:F,"6a-R",SOR!B:B)</f>
        <v>0</v>
      </c>
      <c r="D24" s="51">
        <f>+SUMIF(SOR!F:F,"6a-P",SOR!B:B)</f>
        <v>0</v>
      </c>
      <c r="E24" s="54"/>
      <c r="F24" s="54"/>
      <c r="G24" s="54"/>
      <c r="H24" s="54"/>
      <c r="I24" s="217">
        <f>+SUMIF(SOR!H:H,"6a-R",SOR!G:G)+SUMIF(SOR!H:H,"6a-P",SOR!G:G)</f>
        <v>0</v>
      </c>
    </row>
    <row r="25" spans="1:9" x14ac:dyDescent="0.3">
      <c r="A25" s="45" t="s">
        <v>99</v>
      </c>
      <c r="B25" s="89" t="s">
        <v>100</v>
      </c>
      <c r="C25" s="51">
        <f>+SUMIF(SOR!F:F,"6b-R",SOR!B:B)</f>
        <v>0</v>
      </c>
      <c r="D25" s="51">
        <f>+SUMIF(SOR!F:F,"6b-P",SOR!B:B)</f>
        <v>0</v>
      </c>
      <c r="E25" s="54"/>
      <c r="F25" s="54"/>
      <c r="G25" s="54"/>
      <c r="H25" s="54"/>
      <c r="I25" s="217">
        <f>+SUMIF(SOR!H:H,"6b-R",SOR!G:G)+SUMIF(SOR!H:H,"6b-P",SOR!G:G)</f>
        <v>0</v>
      </c>
    </row>
    <row r="26" spans="1:9" ht="15" thickBot="1" x14ac:dyDescent="0.35">
      <c r="A26" s="45" t="s">
        <v>101</v>
      </c>
      <c r="B26" s="89" t="s">
        <v>102</v>
      </c>
      <c r="C26" s="79">
        <f>+C24-C25</f>
        <v>0</v>
      </c>
      <c r="D26" s="79">
        <f>D24-D25</f>
        <v>0</v>
      </c>
      <c r="E26" s="54"/>
      <c r="F26" s="54"/>
      <c r="G26" s="54"/>
      <c r="H26" s="54"/>
      <c r="I26" s="217">
        <f>+I24-I25</f>
        <v>0</v>
      </c>
    </row>
    <row r="27" spans="1:9" ht="15" thickBot="1" x14ac:dyDescent="0.35">
      <c r="A27" s="45" t="s">
        <v>103</v>
      </c>
      <c r="B27" s="264" t="s">
        <v>104</v>
      </c>
      <c r="C27" s="269"/>
      <c r="D27" s="265"/>
      <c r="E27" s="51">
        <f>+SUM(F27:H27)</f>
        <v>0</v>
      </c>
      <c r="F27" s="51">
        <f>+SUMIF(SOR!F:F,"6a-R",SOR!C:C)-SUMIF(SOR!F:F,"6b-R",SOR!C:C)+SUMIF(SOR!F:F,"6a-P",SOR!C:C)-SUMIF(SOR!F:F,"6b-P",SOR!C:C)</f>
        <v>0</v>
      </c>
      <c r="G27" s="51">
        <f>+SUMIF(SOR!F:F,"6a-R",SOR!D:D)-SUMIF(SOR!F:F,"6b-R",SOR!D:D)+SUMIF(SOR!F:F,"6a-P",SOR!D:D)-SUMIF(SOR!F:F,"6b-P",SOR!D:D)</f>
        <v>0</v>
      </c>
      <c r="H27" s="51">
        <f>+SUMIF(SOR!F:F,"6a-R",SOR!E:E)-SUMIF(SOR!F:F,"6b-R",SOR!E:E)+SUMIF(SOR!F:F,"6a-P",SOR!E:E)-SUMIF(SOR!F:F,"6b-P",SOR!E:E)</f>
        <v>0</v>
      </c>
      <c r="I27" s="217">
        <f>+I26</f>
        <v>0</v>
      </c>
    </row>
    <row r="28" spans="1:9" ht="15" thickBot="1" x14ac:dyDescent="0.35">
      <c r="A28" s="45"/>
      <c r="B28" s="89"/>
      <c r="C28" s="145" t="s">
        <v>105</v>
      </c>
      <c r="D28" s="171" t="s">
        <v>106</v>
      </c>
      <c r="E28" s="54"/>
      <c r="F28" s="54"/>
      <c r="G28" s="54"/>
      <c r="H28" s="54"/>
      <c r="I28" s="217"/>
    </row>
    <row r="29" spans="1:9" x14ac:dyDescent="0.3">
      <c r="A29" s="45" t="s">
        <v>107</v>
      </c>
      <c r="B29" s="89" t="s">
        <v>108</v>
      </c>
      <c r="C29" s="51">
        <f>+SUMIF(SOR!F:F,"7a-S",SOR!B:B)</f>
        <v>0</v>
      </c>
      <c r="D29" s="51">
        <f>+SUMIF(SOR!F:F,"7a-O",SOR!B:B)</f>
        <v>0</v>
      </c>
      <c r="E29" s="54"/>
      <c r="F29" s="54"/>
      <c r="G29" s="54"/>
      <c r="H29" s="54"/>
      <c r="I29" s="217">
        <f>+SUMIF(SOR!H:H,"7a-S",SOR!G:G)+SUMIF(SOR!H:H,"7a-O",SOR!G:G)</f>
        <v>0</v>
      </c>
    </row>
    <row r="30" spans="1:9" x14ac:dyDescent="0.3">
      <c r="A30" s="45" t="s">
        <v>109</v>
      </c>
      <c r="B30" s="89" t="s">
        <v>110</v>
      </c>
      <c r="C30" s="51">
        <f>+SUMIF(SOR!F:F,"7b-S",SOR!B:B)</f>
        <v>0</v>
      </c>
      <c r="D30" s="51">
        <f>+SUMIF(SOR!F:F,"7b-o",SOR!B:B)</f>
        <v>0</v>
      </c>
      <c r="E30" s="54"/>
      <c r="F30" s="54"/>
      <c r="G30" s="54"/>
      <c r="H30" s="54"/>
      <c r="I30" s="217">
        <f>+SUMIF(SOR!H:H,"7b-S",SOR!G:G)+SUMIF(SOR!H:H,"7b-O",SOR!G:G)</f>
        <v>0</v>
      </c>
    </row>
    <row r="31" spans="1:9" ht="15" thickBot="1" x14ac:dyDescent="0.35">
      <c r="A31" s="45" t="s">
        <v>111</v>
      </c>
      <c r="B31" s="89" t="s">
        <v>112</v>
      </c>
      <c r="C31" s="79">
        <f>+C29-C30</f>
        <v>0</v>
      </c>
      <c r="D31" s="79">
        <f>+D29-D30</f>
        <v>0</v>
      </c>
      <c r="E31" s="54"/>
      <c r="F31" s="54"/>
      <c r="G31" s="54"/>
      <c r="H31" s="54"/>
      <c r="I31" s="217">
        <f>+I29-I30</f>
        <v>0</v>
      </c>
    </row>
    <row r="32" spans="1:9" ht="15" thickBot="1" x14ac:dyDescent="0.35">
      <c r="A32" s="45" t="s">
        <v>113</v>
      </c>
      <c r="B32" s="264" t="s">
        <v>114</v>
      </c>
      <c r="C32" s="269"/>
      <c r="D32" s="265"/>
      <c r="E32" s="51">
        <f>SUM(F32:H32)</f>
        <v>0</v>
      </c>
      <c r="F32" s="51">
        <f>+SUMIF(SOR!F:F,"7a-S",SOR!C:C)-SUMIF(SOR!F:F,"7b-S",SOR!C:C)+SUMIF(SOR!F:F,"7a-O",SOR!C:C)-SUMIF(SOR!F:F,"7b-O",SOR!C:C)</f>
        <v>0</v>
      </c>
      <c r="G32" s="51">
        <f>+SUMIF(SOR!F:F,"7a-S",SOR!D:D)-SUMIF(SOR!F:F,"7b-S",SOR!D:D)+SUMIF(SOR!F:F,"7a-O",SOR!D:D)-SUMIF(SOR!F:F,"7b-O",SOR!D:D)</f>
        <v>0</v>
      </c>
      <c r="H32" s="51">
        <f>+SUMIF(SOR!F:F,"7a-S",SOR!E:E)-SUMIF(SOR!F:F,"7b-S",SOR!E:E)+SUMIF(SOR!F:F,"7a-O",SOR!E:E)-SUMIF(SOR!F:F,"7b-O",SOR!E:E)</f>
        <v>0</v>
      </c>
      <c r="I32" s="217">
        <f>+I31</f>
        <v>0</v>
      </c>
    </row>
    <row r="33" spans="1:9" x14ac:dyDescent="0.3">
      <c r="A33" s="45" t="s">
        <v>115</v>
      </c>
      <c r="B33" s="172" t="s">
        <v>116</v>
      </c>
      <c r="C33"/>
      <c r="D33" s="173">
        <f>+SUMIF(SOR!F:F,A33,SOR!B:B)</f>
        <v>0</v>
      </c>
      <c r="E33" s="167"/>
      <c r="F33" s="54"/>
      <c r="G33" s="54"/>
      <c r="H33" s="54"/>
      <c r="I33" s="217">
        <f>+SUMIF(SOR!$H:$H,'Part VIII - Revenue'!$A33,SOR!$G:$G)</f>
        <v>0</v>
      </c>
    </row>
    <row r="34" spans="1:9" ht="15" thickBot="1" x14ac:dyDescent="0.35">
      <c r="A34" s="45" t="s">
        <v>117</v>
      </c>
      <c r="B34" s="264" t="s">
        <v>118</v>
      </c>
      <c r="C34" s="269"/>
      <c r="D34" s="79">
        <f>+SUMIF(SOR!F:F,A34,SOR!B:B)</f>
        <v>0</v>
      </c>
      <c r="E34" s="167"/>
      <c r="F34" s="54"/>
      <c r="G34" s="54"/>
      <c r="H34" s="54"/>
      <c r="I34" s="217">
        <f>+SUMIF(SOR!$H:$H,'Part VIII - Revenue'!$A34,SOR!$G:$G)</f>
        <v>0</v>
      </c>
    </row>
    <row r="35" spans="1:9" ht="15" thickBot="1" x14ac:dyDescent="0.35">
      <c r="A35" s="45" t="s">
        <v>119</v>
      </c>
      <c r="B35" s="264" t="s">
        <v>120</v>
      </c>
      <c r="C35" s="269"/>
      <c r="D35" s="265"/>
      <c r="E35" s="51">
        <f>+D33-D34</f>
        <v>0</v>
      </c>
      <c r="F35" s="54"/>
      <c r="G35" s="66"/>
      <c r="H35" s="66"/>
      <c r="I35" s="217">
        <f>+I33-I34</f>
        <v>0</v>
      </c>
    </row>
    <row r="36" spans="1:9" x14ac:dyDescent="0.3">
      <c r="A36" s="45" t="s">
        <v>121</v>
      </c>
      <c r="B36" s="264" t="s">
        <v>122</v>
      </c>
      <c r="C36" s="265"/>
      <c r="D36" s="173">
        <f>+SUMIF(SOR!F:F,A36,SOR!B:B)</f>
        <v>0</v>
      </c>
      <c r="E36" s="54"/>
      <c r="F36" s="54"/>
      <c r="G36" s="54"/>
      <c r="H36" s="54"/>
      <c r="I36" s="217">
        <f>+SUMIF(SOR!$H:$H,'Part VIII - Revenue'!$A36,SOR!$G:$G)</f>
        <v>0</v>
      </c>
    </row>
    <row r="37" spans="1:9" ht="15" thickBot="1" x14ac:dyDescent="0.35">
      <c r="A37" s="45" t="s">
        <v>123</v>
      </c>
      <c r="B37" s="264" t="s">
        <v>118</v>
      </c>
      <c r="C37" s="265"/>
      <c r="D37" s="79">
        <f>+SUMIF(SOR!F:F,A37,SOR!B:B)</f>
        <v>0</v>
      </c>
      <c r="E37" s="54"/>
      <c r="F37" s="54"/>
      <c r="G37" s="54"/>
      <c r="H37" s="54"/>
      <c r="I37" s="217">
        <f>+SUMIF(SOR!$H:$H,'Part VIII - Revenue'!$A37,SOR!$G:$G)</f>
        <v>0</v>
      </c>
    </row>
    <row r="38" spans="1:9" ht="15" thickBot="1" x14ac:dyDescent="0.35">
      <c r="A38" s="45" t="s">
        <v>124</v>
      </c>
      <c r="B38" s="264" t="s">
        <v>125</v>
      </c>
      <c r="C38" s="269"/>
      <c r="D38" s="265"/>
      <c r="E38" s="51">
        <f>SUM(F38:H38)</f>
        <v>0</v>
      </c>
      <c r="F38" s="51">
        <f>+SUMIF(SOR!F:F,"9a",SOR!C:C)-SUMIF(SOR!F:F,"9b",SOR!C:C)</f>
        <v>0</v>
      </c>
      <c r="G38" s="51">
        <f>+SUMIF(SOR!F:F,"9a",SOR!D:D)-SUMIF(SOR!F:F,"9b",SOR!D:D)</f>
        <v>0</v>
      </c>
      <c r="H38" s="51">
        <f>+SUMIF(SOR!F:F,"9a",SOR!E:E)-SUMIF(SOR!F:F,"9b",SOR!E:E)</f>
        <v>0</v>
      </c>
      <c r="I38" s="217">
        <f>+I36-I37</f>
        <v>0</v>
      </c>
    </row>
    <row r="39" spans="1:9" x14ac:dyDescent="0.3">
      <c r="A39" s="45" t="s">
        <v>126</v>
      </c>
      <c r="B39" s="264" t="s">
        <v>127</v>
      </c>
      <c r="C39" s="265"/>
      <c r="D39" s="173">
        <f>+SUMIF(SOR!F:F,A39,SOR!B:B)</f>
        <v>0</v>
      </c>
      <c r="E39" s="54"/>
      <c r="F39" s="54"/>
      <c r="G39" s="54"/>
      <c r="H39" s="54"/>
      <c r="I39" s="217">
        <f>+SUMIF(SOR!$H:$H,'Part VIII - Revenue'!$A39,SOR!$G:$G)</f>
        <v>0</v>
      </c>
    </row>
    <row r="40" spans="1:9" ht="15" thickBot="1" x14ac:dyDescent="0.35">
      <c r="A40" s="45" t="s">
        <v>128</v>
      </c>
      <c r="B40" s="264" t="s">
        <v>129</v>
      </c>
      <c r="C40" s="265"/>
      <c r="D40" s="79">
        <f>+SUMIF(SOR!F:F,A40,SOR!B:B)</f>
        <v>0</v>
      </c>
      <c r="E40" s="54"/>
      <c r="F40" s="54"/>
      <c r="G40" s="54"/>
      <c r="H40" s="54"/>
      <c r="I40" s="217">
        <f>+SUMIF(SOR!$H:$H,'Part VIII - Revenue'!$A40,SOR!$G:$G)</f>
        <v>0</v>
      </c>
    </row>
    <row r="41" spans="1:9" ht="15" thickBot="1" x14ac:dyDescent="0.35">
      <c r="A41" s="45" t="s">
        <v>130</v>
      </c>
      <c r="B41" s="264" t="s">
        <v>131</v>
      </c>
      <c r="C41" s="269"/>
      <c r="D41" s="265"/>
      <c r="E41" s="51">
        <f>SUM(F41:H41)</f>
        <v>0</v>
      </c>
      <c r="F41" s="51">
        <f>+SUMIF(SOR!F:F,"10a",SOR!C:C)-SUMIF(SOR!F:F,"10b",SOR!C:C)</f>
        <v>0</v>
      </c>
      <c r="G41" s="51">
        <f>+SUMIF(SOR!F:F,"10a",SOR!D:D)-SUMIF(SOR!F:F,"10b",SOR!D:D)</f>
        <v>0</v>
      </c>
      <c r="H41" s="51">
        <f>+SUMIF(SOR!F:F,"10a",SOR!E:E)-SUMIF(SOR!F:F,"10b",SOR!E:E)</f>
        <v>0</v>
      </c>
      <c r="I41" s="217">
        <f>+I39-I40</f>
        <v>0</v>
      </c>
    </row>
    <row r="42" spans="1:9" ht="16.2" x14ac:dyDescent="0.45">
      <c r="A42" s="170">
        <v>11</v>
      </c>
      <c r="B42" s="270" t="s">
        <v>132</v>
      </c>
      <c r="C42" s="272"/>
      <c r="D42" s="78" t="s">
        <v>82</v>
      </c>
      <c r="E42" s="76"/>
      <c r="F42" s="76"/>
      <c r="G42" s="76"/>
      <c r="H42" s="76"/>
      <c r="I42" s="217"/>
    </row>
    <row r="43" spans="1:9" x14ac:dyDescent="0.3">
      <c r="A43" s="45" t="s">
        <v>133</v>
      </c>
      <c r="B43" s="264" t="str">
        <f>IFERROR(+INDEX(SOR!A:F,MATCH('Part VIII - Revenue'!A43,SOR!F:F,0),1),"")</f>
        <v/>
      </c>
      <c r="C43" s="265"/>
      <c r="D43" s="222"/>
      <c r="E43" s="51">
        <f>+SUM(F43:H43)</f>
        <v>0</v>
      </c>
      <c r="F43" s="71">
        <f>+SUMIF(SOR!$F:$F,'Part VIII - Revenue'!$A:$A,SOR!C:C)</f>
        <v>0</v>
      </c>
      <c r="G43" s="71">
        <f>+SUMIF(SOR!$F:$F,'Part VIII - Revenue'!$A:$A,SOR!D:D)</f>
        <v>0</v>
      </c>
      <c r="H43" s="71">
        <f>+SUMIF(SOR!$F:$F,'Part VIII - Revenue'!$A:$A,SOR!E:E)</f>
        <v>0</v>
      </c>
      <c r="I43" s="217">
        <f>+SUMIF(SOR!$H:$H,'Part VIII - Revenue'!$A43,SOR!$G:$G)</f>
        <v>0</v>
      </c>
    </row>
    <row r="44" spans="1:9" x14ac:dyDescent="0.3">
      <c r="A44" s="45" t="s">
        <v>134</v>
      </c>
      <c r="B44" s="264" t="str">
        <f>IFERROR(+INDEX(SOR!A:F,MATCH('Part VIII - Revenue'!A44,SOR!F:F,0),1),"")</f>
        <v/>
      </c>
      <c r="C44" s="265"/>
      <c r="D44" s="66"/>
      <c r="E44" s="51">
        <f t="shared" ref="E44:E46" si="2">+SUM(F44:H44)</f>
        <v>0</v>
      </c>
      <c r="F44" s="71">
        <f>+SUMIF(SOR!$F:$F,'Part VIII - Revenue'!$A:$A,SOR!C:C)</f>
        <v>0</v>
      </c>
      <c r="G44" s="71">
        <f>+SUMIF(SOR!$F:$F,'Part VIII - Revenue'!$A:$A,SOR!D:D)</f>
        <v>0</v>
      </c>
      <c r="H44" s="71">
        <f>+SUMIF(SOR!$F:$F,'Part VIII - Revenue'!$A:$A,SOR!E:E)</f>
        <v>0</v>
      </c>
      <c r="I44" s="217">
        <f>+SUMIF(SOR!$H:$H,'Part VIII - Revenue'!$A44,SOR!$G:$G)</f>
        <v>0</v>
      </c>
    </row>
    <row r="45" spans="1:9" x14ac:dyDescent="0.3">
      <c r="A45" s="45" t="s">
        <v>135</v>
      </c>
      <c r="B45" s="264" t="str">
        <f>IFERROR(+INDEX(SOR!A:F,MATCH('Part VIII - Revenue'!A45,SOR!F:F,0),1),"")</f>
        <v/>
      </c>
      <c r="C45" s="265"/>
      <c r="D45" s="66"/>
      <c r="E45" s="51">
        <f t="shared" si="2"/>
        <v>0</v>
      </c>
      <c r="F45" s="71">
        <f>+SUMIF(SOR!$F:$F,'Part VIII - Revenue'!$A:$A,SOR!C:C)</f>
        <v>0</v>
      </c>
      <c r="G45" s="71">
        <f>+SUMIF(SOR!$F:$F,'Part VIII - Revenue'!$A:$A,SOR!D:D)</f>
        <v>0</v>
      </c>
      <c r="H45" s="71">
        <f>+SUMIF(SOR!$F:$F,'Part VIII - Revenue'!$A:$A,SOR!E:E)</f>
        <v>0</v>
      </c>
      <c r="I45" s="217">
        <f>+SUMIF(SOR!$H:$H,'Part VIII - Revenue'!$A45,SOR!$G:$G)</f>
        <v>0</v>
      </c>
    </row>
    <row r="46" spans="1:9" ht="15" thickBot="1" x14ac:dyDescent="0.35">
      <c r="A46" s="179" t="s">
        <v>136</v>
      </c>
      <c r="B46" s="279" t="s">
        <v>137</v>
      </c>
      <c r="C46" s="280"/>
      <c r="D46" s="224"/>
      <c r="E46" s="180">
        <f t="shared" si="2"/>
        <v>0</v>
      </c>
      <c r="F46" s="181">
        <f>+SUMIF(SOR!$F:$F,'Part VIII - Revenue'!$A:$A,SOR!C:C)</f>
        <v>0</v>
      </c>
      <c r="G46" s="181">
        <f>+SUMIF(SOR!$F:$F,'Part VIII - Revenue'!$A:$A,SOR!D:D)</f>
        <v>0</v>
      </c>
      <c r="H46" s="181">
        <f>+SUMIF(SOR!$F:$F,'Part VIII - Revenue'!$A:$A,SOR!E:E)</f>
        <v>0</v>
      </c>
      <c r="I46" s="218">
        <f>+SUMIF(SOR!$H:$H,'Part VIII - Revenue'!$A46,SOR!$G:$G)</f>
        <v>0</v>
      </c>
    </row>
    <row r="47" spans="1:9" ht="15" thickBot="1" x14ac:dyDescent="0.35">
      <c r="A47" s="77" t="s">
        <v>138</v>
      </c>
      <c r="B47" s="275" t="s">
        <v>139</v>
      </c>
      <c r="C47" s="281"/>
      <c r="D47" s="274"/>
      <c r="E47" s="79">
        <f>+SUM(E43:E46)</f>
        <v>0</v>
      </c>
      <c r="F47" s="182"/>
      <c r="G47" s="182"/>
      <c r="H47" s="182"/>
      <c r="I47" s="219">
        <f>SUM(I43:I46)</f>
        <v>0</v>
      </c>
    </row>
    <row r="48" spans="1:9" s="55" customFormat="1" ht="18.75" customHeight="1" thickBot="1" x14ac:dyDescent="0.35">
      <c r="A48" s="186">
        <v>12</v>
      </c>
      <c r="B48" s="276" t="s">
        <v>60</v>
      </c>
      <c r="C48" s="277"/>
      <c r="D48" s="278"/>
      <c r="E48" s="188">
        <f>SUM(F48:H48)+E11+E35</f>
        <v>0</v>
      </c>
      <c r="F48" s="188">
        <f>SUM(F13:F22,F27,F32,F38,F41,F43:F46)</f>
        <v>0</v>
      </c>
      <c r="G48" s="188">
        <f>SUM(G13:G22,G27,G32,G38,G41,G43:G46)</f>
        <v>0</v>
      </c>
      <c r="H48" s="188">
        <f>SUM(H13:H22,H27,H32,H38,H41,H43:H46)</f>
        <v>0</v>
      </c>
      <c r="I48" s="220">
        <f>+I47+I41+I38+I35+I32+I27+I22+I21+I20+I19+I11</f>
        <v>0</v>
      </c>
    </row>
    <row r="49" spans="4:8" x14ac:dyDescent="0.3">
      <c r="E49" s="61"/>
      <c r="F49" s="61"/>
      <c r="G49" s="61"/>
      <c r="H49" s="61"/>
    </row>
    <row r="50" spans="4:8" x14ac:dyDescent="0.3">
      <c r="D50" s="57"/>
    </row>
    <row r="51" spans="4:8" x14ac:dyDescent="0.3">
      <c r="E51" s="61"/>
      <c r="F51" s="61"/>
      <c r="G51" s="61"/>
      <c r="H51" s="61"/>
    </row>
    <row r="52" spans="4:8" x14ac:dyDescent="0.3">
      <c r="E52" s="61"/>
      <c r="F52" s="61"/>
      <c r="G52" s="61"/>
      <c r="H52" s="61"/>
    </row>
    <row r="53" spans="4:8" x14ac:dyDescent="0.3">
      <c r="E53" s="61"/>
      <c r="F53" s="61"/>
      <c r="G53" s="61"/>
      <c r="H53" s="61"/>
    </row>
    <row r="54" spans="4:8" x14ac:dyDescent="0.3">
      <c r="E54" s="61"/>
      <c r="F54" s="61"/>
      <c r="G54" s="61"/>
      <c r="H54" s="61"/>
    </row>
    <row r="55" spans="4:8" x14ac:dyDescent="0.3">
      <c r="E55" s="61"/>
      <c r="F55" s="61"/>
      <c r="G55" s="61"/>
      <c r="H55" s="61"/>
    </row>
    <row r="56" spans="4:8" x14ac:dyDescent="0.3">
      <c r="E56" s="61"/>
      <c r="F56" s="61"/>
      <c r="G56" s="61"/>
      <c r="H56" s="61"/>
    </row>
    <row r="57" spans="4:8" x14ac:dyDescent="0.3">
      <c r="E57" s="61"/>
      <c r="F57" s="61"/>
      <c r="G57" s="61"/>
      <c r="H57" s="61"/>
    </row>
    <row r="58" spans="4:8" x14ac:dyDescent="0.3">
      <c r="E58" s="61"/>
      <c r="F58" s="61"/>
      <c r="G58" s="61"/>
      <c r="H58" s="61"/>
    </row>
    <row r="59" spans="4:8" x14ac:dyDescent="0.3">
      <c r="E59" s="61"/>
      <c r="F59" s="61"/>
      <c r="G59" s="61"/>
      <c r="H59" s="61"/>
    </row>
    <row r="60" spans="4:8" x14ac:dyDescent="0.3">
      <c r="E60" s="61"/>
      <c r="F60" s="61"/>
      <c r="G60" s="61"/>
      <c r="H60" s="61"/>
    </row>
    <row r="61" spans="4:8" x14ac:dyDescent="0.3">
      <c r="E61" s="61"/>
      <c r="F61" s="61"/>
      <c r="G61" s="61"/>
      <c r="H61" s="61"/>
    </row>
    <row r="62" spans="4:8" x14ac:dyDescent="0.3">
      <c r="E62" s="61"/>
      <c r="F62" s="61"/>
      <c r="G62" s="61"/>
      <c r="H62" s="61"/>
    </row>
    <row r="63" spans="4:8" x14ac:dyDescent="0.3">
      <c r="E63" s="61"/>
      <c r="F63" s="61"/>
      <c r="G63" s="61"/>
      <c r="H63" s="61"/>
    </row>
    <row r="64" spans="4:8" x14ac:dyDescent="0.3">
      <c r="E64" s="61"/>
      <c r="F64" s="61"/>
      <c r="G64" s="61"/>
      <c r="H64" s="61"/>
    </row>
    <row r="65" spans="5:8" x14ac:dyDescent="0.3">
      <c r="E65" s="61"/>
      <c r="F65" s="61"/>
      <c r="G65" s="61"/>
      <c r="H65" s="61"/>
    </row>
    <row r="66" spans="5:8" x14ac:dyDescent="0.3">
      <c r="E66" s="61"/>
      <c r="F66" s="61"/>
      <c r="G66" s="61"/>
      <c r="H66" s="61"/>
    </row>
  </sheetData>
  <sheetProtection algorithmName="SHA-512" hashValue="aDEHQjaQMD+MsP0hwH23sPxEnN6hFmolUgJ71GyHKHJVCLmfslAbBDXsVXgXn6CVD0v42ZO8VO31bvibi+kXMA==" saltValue="EO6pPOLNGRqjIPQT9wLhgQ==" spinCount="100000" sheet="1"/>
  <mergeCells count="38">
    <mergeCell ref="B48:D48"/>
    <mergeCell ref="B42:C42"/>
    <mergeCell ref="B43:C43"/>
    <mergeCell ref="B44:C44"/>
    <mergeCell ref="B45:C45"/>
    <mergeCell ref="B46:C46"/>
    <mergeCell ref="B47:D47"/>
    <mergeCell ref="B36:C36"/>
    <mergeCell ref="B37:C37"/>
    <mergeCell ref="B38:D38"/>
    <mergeCell ref="B41:D41"/>
    <mergeCell ref="B39:C39"/>
    <mergeCell ref="B40:C40"/>
    <mergeCell ref="B8:C8"/>
    <mergeCell ref="B10:C10"/>
    <mergeCell ref="B11:C11"/>
    <mergeCell ref="B32:D32"/>
    <mergeCell ref="B35:D35"/>
    <mergeCell ref="B34:C34"/>
    <mergeCell ref="B17:C17"/>
    <mergeCell ref="B18:C18"/>
    <mergeCell ref="B19:C19"/>
    <mergeCell ref="A2:H2"/>
    <mergeCell ref="B9:C9"/>
    <mergeCell ref="B3:D3"/>
    <mergeCell ref="B27:D27"/>
    <mergeCell ref="B20:D20"/>
    <mergeCell ref="B21:D21"/>
    <mergeCell ref="B22:D22"/>
    <mergeCell ref="B12:C12"/>
    <mergeCell ref="B13:C13"/>
    <mergeCell ref="B14:C14"/>
    <mergeCell ref="B15:C15"/>
    <mergeCell ref="B16:C16"/>
    <mergeCell ref="B4:C4"/>
    <mergeCell ref="B5:C5"/>
    <mergeCell ref="B6:C6"/>
    <mergeCell ref="B7:C7"/>
  </mergeCells>
  <pageMargins left="0.7" right="0.7" top="0.75" bottom="0.75" header="0.3" footer="0.3"/>
  <pageSetup orientation="portrait" r:id="rId1"/>
  <customProperties>
    <customPr name="OrphanNamesChecke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tabColor rgb="FF92D050"/>
  </sheetPr>
  <dimension ref="A1:G49"/>
  <sheetViews>
    <sheetView workbookViewId="0">
      <selection activeCell="G44" sqref="G44"/>
    </sheetView>
  </sheetViews>
  <sheetFormatPr defaultColWidth="9.109375" defaultRowHeight="14.4" x14ac:dyDescent="0.3"/>
  <cols>
    <col min="1" max="1" width="7.33203125" style="58" customWidth="1"/>
    <col min="2" max="2" width="87.109375" style="55" bestFit="1" customWidth="1"/>
    <col min="3" max="6" width="18.33203125" style="56" customWidth="1"/>
    <col min="7" max="7" width="18.33203125" style="57" customWidth="1"/>
    <col min="8" max="16384" width="9.109375" style="57"/>
  </cols>
  <sheetData>
    <row r="1" spans="1:7" ht="15" thickBot="1" x14ac:dyDescent="0.35"/>
    <row r="2" spans="1:7" ht="15" thickBot="1" x14ac:dyDescent="0.35">
      <c r="A2" s="282" t="s">
        <v>140</v>
      </c>
      <c r="B2" s="283"/>
      <c r="C2" s="283"/>
      <c r="D2" s="283"/>
      <c r="E2" s="283"/>
      <c r="F2" s="284"/>
      <c r="G2" s="215"/>
    </row>
    <row r="3" spans="1:7" s="58" customFormat="1" ht="15" thickBot="1" x14ac:dyDescent="0.35">
      <c r="A3" s="81" t="s">
        <v>58</v>
      </c>
      <c r="B3" s="81" t="s">
        <v>59</v>
      </c>
      <c r="C3" s="49" t="s">
        <v>141</v>
      </c>
      <c r="D3" s="49" t="s">
        <v>142</v>
      </c>
      <c r="E3" s="49" t="s">
        <v>143</v>
      </c>
      <c r="F3" s="49" t="s">
        <v>144</v>
      </c>
      <c r="G3" s="225" t="s">
        <v>64</v>
      </c>
    </row>
    <row r="4" spans="1:7" x14ac:dyDescent="0.3">
      <c r="A4" s="45">
        <v>1</v>
      </c>
      <c r="B4" s="82" t="s">
        <v>145</v>
      </c>
      <c r="C4" s="50">
        <f>SUM(D4:F4)</f>
        <v>0</v>
      </c>
      <c r="D4" s="51">
        <f>+SUMIF(SOFE!$J:$J,'Part IX - Expenses'!$A4,SOFE!E:E)</f>
        <v>0</v>
      </c>
      <c r="E4" s="54"/>
      <c r="F4" s="54"/>
      <c r="G4" s="217">
        <f>+SUMIF(SOFE!K:K,'Part IX - Expenses'!A4,SOFE!I:I)</f>
        <v>0</v>
      </c>
    </row>
    <row r="5" spans="1:7" x14ac:dyDescent="0.3">
      <c r="A5" s="45">
        <v>2</v>
      </c>
      <c r="B5" s="82" t="s">
        <v>146</v>
      </c>
      <c r="C5" s="50">
        <f t="shared" ref="C5:C32" si="0">SUM(D5:F5)</f>
        <v>0</v>
      </c>
      <c r="D5" s="51">
        <f>+SUMIF(SOFE!$J:$J,'Part IX - Expenses'!$A5,SOFE!E:E)</f>
        <v>0</v>
      </c>
      <c r="E5" s="54"/>
      <c r="F5" s="54"/>
      <c r="G5" s="217">
        <f>+SUMIF(SOFE!K:K,'Part IX - Expenses'!A5,SOFE!I:I)</f>
        <v>0</v>
      </c>
    </row>
    <row r="6" spans="1:7" x14ac:dyDescent="0.3">
      <c r="A6" s="45">
        <v>3</v>
      </c>
      <c r="B6" s="82" t="s">
        <v>147</v>
      </c>
      <c r="C6" s="50">
        <f t="shared" si="0"/>
        <v>0</v>
      </c>
      <c r="D6" s="51">
        <f>+SUMIF(SOFE!$J:$J,'Part IX - Expenses'!$A6,SOFE!E:E)</f>
        <v>0</v>
      </c>
      <c r="E6" s="54"/>
      <c r="F6" s="54"/>
      <c r="G6" s="217">
        <f>+SUMIF(SOFE!K:K,'Part IX - Expenses'!A6,SOFE!I:I)</f>
        <v>0</v>
      </c>
    </row>
    <row r="7" spans="1:7" x14ac:dyDescent="0.3">
      <c r="A7" s="45">
        <v>4</v>
      </c>
      <c r="B7" s="82" t="s">
        <v>148</v>
      </c>
      <c r="C7" s="50">
        <f t="shared" si="0"/>
        <v>0</v>
      </c>
      <c r="D7" s="51">
        <f>+SUMIF(SOFE!$J:$J,'Part IX - Expenses'!$A7,SOFE!E:E)</f>
        <v>0</v>
      </c>
      <c r="E7" s="54"/>
      <c r="F7" s="54"/>
      <c r="G7" s="217">
        <f>+SUMIF(SOFE!K:K,'Part IX - Expenses'!A7,SOFE!I:I)</f>
        <v>0</v>
      </c>
    </row>
    <row r="8" spans="1:7" x14ac:dyDescent="0.3">
      <c r="A8" s="45">
        <v>5</v>
      </c>
      <c r="B8" s="82" t="s">
        <v>149</v>
      </c>
      <c r="C8" s="50">
        <f t="shared" si="0"/>
        <v>0</v>
      </c>
      <c r="D8" s="51">
        <f>+SUMIF(SOFE!$J:$J,'Part IX - Expenses'!$A8,SOFE!E:E)</f>
        <v>0</v>
      </c>
      <c r="E8" s="51">
        <f>+SUMIF(SOFE!$J:$J,'Part IX - Expenses'!$A8,SOFE!F:F)</f>
        <v>0</v>
      </c>
      <c r="F8" s="51">
        <f>+SUMIF(SOFE!$J:$J,'Part IX - Expenses'!$A8,SOFE!G:G)</f>
        <v>0</v>
      </c>
      <c r="G8" s="217">
        <f>+SUMIF(SOFE!K:K,'Part IX - Expenses'!A8,SOFE!I:I)</f>
        <v>0</v>
      </c>
    </row>
    <row r="9" spans="1:7" x14ac:dyDescent="0.3">
      <c r="A9" s="45">
        <v>6</v>
      </c>
      <c r="B9" s="82" t="s">
        <v>150</v>
      </c>
      <c r="C9" s="50">
        <f t="shared" si="0"/>
        <v>0</v>
      </c>
      <c r="D9" s="51">
        <f>+SUMIF(SOFE!$J:$J,'Part IX - Expenses'!$A9,SOFE!E:E)</f>
        <v>0</v>
      </c>
      <c r="E9" s="51">
        <f>+SUMIF(SOFE!$J:$J,'Part IX - Expenses'!$A9,SOFE!F:F)</f>
        <v>0</v>
      </c>
      <c r="F9" s="51">
        <f>+SUMIF(SOFE!$J:$J,'Part IX - Expenses'!$A9,SOFE!G:G)</f>
        <v>0</v>
      </c>
      <c r="G9" s="217">
        <f>+SUMIF(SOFE!K:K,'Part IX - Expenses'!A9,SOFE!I:I)</f>
        <v>0</v>
      </c>
    </row>
    <row r="10" spans="1:7" x14ac:dyDescent="0.3">
      <c r="A10" s="45">
        <v>7</v>
      </c>
      <c r="B10" s="82" t="s">
        <v>151</v>
      </c>
      <c r="C10" s="50">
        <f t="shared" si="0"/>
        <v>0</v>
      </c>
      <c r="D10" s="51">
        <f>+SUMIF(SOFE!$J:$J,'Part IX - Expenses'!$A10,SOFE!E:E)</f>
        <v>0</v>
      </c>
      <c r="E10" s="51">
        <f>+SUMIF(SOFE!$J:$J,'Part IX - Expenses'!$A10,SOFE!F:F)</f>
        <v>0</v>
      </c>
      <c r="F10" s="51">
        <f>+SUMIF(SOFE!$J:$J,'Part IX - Expenses'!$A10,SOFE!G:G)</f>
        <v>0</v>
      </c>
      <c r="G10" s="217">
        <f>+SUMIF(SOFE!K:K,'Part IX - Expenses'!A10,SOFE!I:I)</f>
        <v>0</v>
      </c>
    </row>
    <row r="11" spans="1:7" x14ac:dyDescent="0.3">
      <c r="A11" s="45">
        <v>8</v>
      </c>
      <c r="B11" s="82" t="s">
        <v>152</v>
      </c>
      <c r="C11" s="50">
        <f t="shared" si="0"/>
        <v>0</v>
      </c>
      <c r="D11" s="51">
        <f>+SUMIF(SOFE!$J:$J,'Part IX - Expenses'!$A11,SOFE!E:E)</f>
        <v>0</v>
      </c>
      <c r="E11" s="51">
        <f>+SUMIF(SOFE!$J:$J,'Part IX - Expenses'!$A11,SOFE!F:F)</f>
        <v>0</v>
      </c>
      <c r="F11" s="51">
        <f>+SUMIF(SOFE!$J:$J,'Part IX - Expenses'!$A11,SOFE!G:G)</f>
        <v>0</v>
      </c>
      <c r="G11" s="217">
        <f>+SUMIF(SOFE!K:K,'Part IX - Expenses'!A11,SOFE!I:I)</f>
        <v>0</v>
      </c>
    </row>
    <row r="12" spans="1:7" x14ac:dyDescent="0.3">
      <c r="A12" s="45">
        <v>9</v>
      </c>
      <c r="B12" s="82" t="s">
        <v>153</v>
      </c>
      <c r="C12" s="50">
        <f t="shared" si="0"/>
        <v>0</v>
      </c>
      <c r="D12" s="51">
        <f>+SUMIF(SOFE!$J:$J,'Part IX - Expenses'!$A12,SOFE!E:E)</f>
        <v>0</v>
      </c>
      <c r="E12" s="51">
        <f>+SUMIF(SOFE!$J:$J,'Part IX - Expenses'!$A12,SOFE!F:F)</f>
        <v>0</v>
      </c>
      <c r="F12" s="51">
        <f>+SUMIF(SOFE!$J:$J,'Part IX - Expenses'!$A12,SOFE!G:G)</f>
        <v>0</v>
      </c>
      <c r="G12" s="217">
        <f>+SUMIF(SOFE!K:K,'Part IX - Expenses'!A12,SOFE!I:I)</f>
        <v>0</v>
      </c>
    </row>
    <row r="13" spans="1:7" x14ac:dyDescent="0.3">
      <c r="A13" s="45">
        <v>10</v>
      </c>
      <c r="B13" s="82" t="s">
        <v>154</v>
      </c>
      <c r="C13" s="50">
        <f t="shared" si="0"/>
        <v>0</v>
      </c>
      <c r="D13" s="51">
        <f>+SUMIF(SOFE!$J:$J,'Part IX - Expenses'!$A13,SOFE!E:E)</f>
        <v>0</v>
      </c>
      <c r="E13" s="51">
        <f>+SUMIF(SOFE!$J:$J,'Part IX - Expenses'!$A13,SOFE!F:F)</f>
        <v>0</v>
      </c>
      <c r="F13" s="51">
        <f>+SUMIF(SOFE!$J:$J,'Part IX - Expenses'!$A13,SOFE!G:G)</f>
        <v>0</v>
      </c>
      <c r="G13" s="217">
        <f>+SUMIF(SOFE!K:K,'Part IX - Expenses'!A13,SOFE!I:I)</f>
        <v>0</v>
      </c>
    </row>
    <row r="14" spans="1:7" x14ac:dyDescent="0.3">
      <c r="A14" s="45" t="s">
        <v>133</v>
      </c>
      <c r="B14" s="82" t="s">
        <v>143</v>
      </c>
      <c r="C14" s="50">
        <f t="shared" si="0"/>
        <v>0</v>
      </c>
      <c r="D14" s="51">
        <f>+SUMIF(SOFE!$J:$J,'Part IX - Expenses'!$A14,SOFE!E:E)</f>
        <v>0</v>
      </c>
      <c r="E14" s="51">
        <f>+SUMIF(SOFE!$J:$J,'Part IX - Expenses'!$A14,SOFE!F:F)</f>
        <v>0</v>
      </c>
      <c r="F14" s="51">
        <f>+SUMIF(SOFE!$J:$J,'Part IX - Expenses'!$A14,SOFE!G:G)</f>
        <v>0</v>
      </c>
      <c r="G14" s="217">
        <f>+SUMIF(SOFE!K:K,'Part IX - Expenses'!A14,SOFE!I:I)</f>
        <v>0</v>
      </c>
    </row>
    <row r="15" spans="1:7" x14ac:dyDescent="0.3">
      <c r="A15" s="45" t="s">
        <v>134</v>
      </c>
      <c r="B15" s="82" t="s">
        <v>155</v>
      </c>
      <c r="C15" s="50">
        <f t="shared" si="0"/>
        <v>0</v>
      </c>
      <c r="D15" s="51">
        <f>+SUMIF(SOFE!$J:$J,'Part IX - Expenses'!$A15,SOFE!E:E)</f>
        <v>0</v>
      </c>
      <c r="E15" s="51">
        <f>+SUMIF(SOFE!$J:$J,'Part IX - Expenses'!$A15,SOFE!F:F)</f>
        <v>0</v>
      </c>
      <c r="F15" s="51">
        <f>+SUMIF(SOFE!$J:$J,'Part IX - Expenses'!$A15,SOFE!G:G)</f>
        <v>0</v>
      </c>
      <c r="G15" s="217">
        <f>+SUMIF(SOFE!K:K,'Part IX - Expenses'!A15,SOFE!I:I)</f>
        <v>0</v>
      </c>
    </row>
    <row r="16" spans="1:7" x14ac:dyDescent="0.3">
      <c r="A16" s="45" t="s">
        <v>135</v>
      </c>
      <c r="B16" s="82" t="s">
        <v>156</v>
      </c>
      <c r="C16" s="50">
        <f t="shared" si="0"/>
        <v>0</v>
      </c>
      <c r="D16" s="51">
        <f>+SUMIF(SOFE!$J:$J,'Part IX - Expenses'!$A16,SOFE!E:E)</f>
        <v>0</v>
      </c>
      <c r="E16" s="51">
        <f>+SUMIF(SOFE!$J:$J,'Part IX - Expenses'!$A16,SOFE!F:F)</f>
        <v>0</v>
      </c>
      <c r="F16" s="51">
        <f>+SUMIF(SOFE!$J:$J,'Part IX - Expenses'!$A16,SOFE!G:G)</f>
        <v>0</v>
      </c>
      <c r="G16" s="217">
        <f>+SUMIF(SOFE!K:K,'Part IX - Expenses'!A16,SOFE!I:I)</f>
        <v>0</v>
      </c>
    </row>
    <row r="17" spans="1:7" x14ac:dyDescent="0.3">
      <c r="A17" s="45" t="s">
        <v>136</v>
      </c>
      <c r="B17" s="82" t="s">
        <v>157</v>
      </c>
      <c r="C17" s="50">
        <f t="shared" si="0"/>
        <v>0</v>
      </c>
      <c r="D17" s="51">
        <f>+SUMIF(SOFE!$J:$J,'Part IX - Expenses'!$A17,SOFE!E:E)</f>
        <v>0</v>
      </c>
      <c r="E17" s="51">
        <f>+SUMIF(SOFE!$J:$J,'Part IX - Expenses'!$A17,SOFE!F:F)</f>
        <v>0</v>
      </c>
      <c r="F17" s="51">
        <f>+SUMIF(SOFE!$J:$J,'Part IX - Expenses'!$A17,SOFE!G:G)</f>
        <v>0</v>
      </c>
      <c r="G17" s="217">
        <f>+SUMIF(SOFE!K:K,'Part IX - Expenses'!A17,SOFE!I:I)</f>
        <v>0</v>
      </c>
    </row>
    <row r="18" spans="1:7" x14ac:dyDescent="0.3">
      <c r="A18" s="45" t="s">
        <v>138</v>
      </c>
      <c r="B18" s="82" t="s">
        <v>158</v>
      </c>
      <c r="C18" s="50">
        <f t="shared" si="0"/>
        <v>0</v>
      </c>
      <c r="D18" s="54"/>
      <c r="E18" s="54"/>
      <c r="F18" s="51">
        <f>+SUMIF(SOFE!$J:$J,'Part IX - Expenses'!$A18,SOFE!G:G)</f>
        <v>0</v>
      </c>
      <c r="G18" s="217">
        <f>+SUMIF(SOFE!K:K,'Part IX - Expenses'!A18,SOFE!I:I)</f>
        <v>0</v>
      </c>
    </row>
    <row r="19" spans="1:7" x14ac:dyDescent="0.3">
      <c r="A19" s="45" t="s">
        <v>159</v>
      </c>
      <c r="B19" s="82" t="s">
        <v>160</v>
      </c>
      <c r="C19" s="50">
        <f t="shared" si="0"/>
        <v>0</v>
      </c>
      <c r="D19" s="51">
        <f>+SUMIF(SOFE!$J:$J,'Part IX - Expenses'!$A19,SOFE!E:E)</f>
        <v>0</v>
      </c>
      <c r="E19" s="51">
        <f>+SUMIF(SOFE!$J:$J,'Part IX - Expenses'!$A19,SOFE!F:F)</f>
        <v>0</v>
      </c>
      <c r="F19" s="51">
        <f>+SUMIF(SOFE!$J:$J,'Part IX - Expenses'!$A19,SOFE!G:G)</f>
        <v>0</v>
      </c>
      <c r="G19" s="217">
        <f>+SUMIF(SOFE!K:K,'Part IX - Expenses'!A19,SOFE!I:I)</f>
        <v>0</v>
      </c>
    </row>
    <row r="20" spans="1:7" x14ac:dyDescent="0.3">
      <c r="A20" s="45" t="s">
        <v>161</v>
      </c>
      <c r="B20" s="82" t="s">
        <v>162</v>
      </c>
      <c r="C20" s="50">
        <f t="shared" si="0"/>
        <v>0</v>
      </c>
      <c r="D20" s="51">
        <f>+SUMIF(SOFE!$J:$J,'Part IX - Expenses'!$A20,SOFE!E:E)</f>
        <v>0</v>
      </c>
      <c r="E20" s="51">
        <f>+SUMIF(SOFE!$J:$J,'Part IX - Expenses'!$A20,SOFE!F:F)</f>
        <v>0</v>
      </c>
      <c r="F20" s="51">
        <f>+SUMIF(SOFE!$J:$J,'Part IX - Expenses'!$A20,SOFE!G:G)</f>
        <v>0</v>
      </c>
      <c r="G20" s="217">
        <f>+SUMIF(SOFE!K:K,'Part IX - Expenses'!A20,SOFE!I:I)</f>
        <v>0</v>
      </c>
    </row>
    <row r="21" spans="1:7" x14ac:dyDescent="0.3">
      <c r="A21" s="45">
        <v>12</v>
      </c>
      <c r="B21" s="82" t="s">
        <v>163</v>
      </c>
      <c r="C21" s="50">
        <f t="shared" si="0"/>
        <v>0</v>
      </c>
      <c r="D21" s="51">
        <f>+SUMIF(SOFE!$J:$J,'Part IX - Expenses'!$A21,SOFE!E:E)</f>
        <v>0</v>
      </c>
      <c r="E21" s="51">
        <f>+SUMIF(SOFE!$J:$J,'Part IX - Expenses'!$A21,SOFE!F:F)</f>
        <v>0</v>
      </c>
      <c r="F21" s="51">
        <f>+SUMIF(SOFE!$J:$J,'Part IX - Expenses'!$A21,SOFE!G:G)</f>
        <v>0</v>
      </c>
      <c r="G21" s="217">
        <f>+SUMIF(SOFE!K:K,'Part IX - Expenses'!A21,SOFE!I:I)</f>
        <v>0</v>
      </c>
    </row>
    <row r="22" spans="1:7" x14ac:dyDescent="0.3">
      <c r="A22" s="45">
        <v>13</v>
      </c>
      <c r="B22" s="82" t="s">
        <v>164</v>
      </c>
      <c r="C22" s="50">
        <f t="shared" si="0"/>
        <v>0</v>
      </c>
      <c r="D22" s="51">
        <f>+SUMIF(SOFE!$J:$J,'Part IX - Expenses'!$A22,SOFE!E:E)</f>
        <v>0</v>
      </c>
      <c r="E22" s="51">
        <f>+SUMIF(SOFE!$J:$J,'Part IX - Expenses'!$A22,SOFE!F:F)</f>
        <v>0</v>
      </c>
      <c r="F22" s="51">
        <f>+SUMIF(SOFE!$J:$J,'Part IX - Expenses'!$A22,SOFE!G:G)</f>
        <v>0</v>
      </c>
      <c r="G22" s="217">
        <f>+SUMIF(SOFE!K:K,'Part IX - Expenses'!A22,SOFE!I:I)</f>
        <v>0</v>
      </c>
    </row>
    <row r="23" spans="1:7" x14ac:dyDescent="0.3">
      <c r="A23" s="45">
        <v>14</v>
      </c>
      <c r="B23" s="82" t="s">
        <v>165</v>
      </c>
      <c r="C23" s="50">
        <f t="shared" si="0"/>
        <v>0</v>
      </c>
      <c r="D23" s="51">
        <f>+SUMIF(SOFE!$J:$J,'Part IX - Expenses'!$A23,SOFE!E:E)</f>
        <v>0</v>
      </c>
      <c r="E23" s="51">
        <f>+SUMIF(SOFE!$J:$J,'Part IX - Expenses'!$A23,SOFE!F:F)</f>
        <v>0</v>
      </c>
      <c r="F23" s="51">
        <f>+SUMIF(SOFE!$J:$J,'Part IX - Expenses'!$A23,SOFE!G:G)</f>
        <v>0</v>
      </c>
      <c r="G23" s="217">
        <f>+SUMIF(SOFE!K:K,'Part IX - Expenses'!A23,SOFE!I:I)</f>
        <v>0</v>
      </c>
    </row>
    <row r="24" spans="1:7" x14ac:dyDescent="0.3">
      <c r="A24" s="45">
        <v>15</v>
      </c>
      <c r="B24" s="82" t="s">
        <v>94</v>
      </c>
      <c r="C24" s="50">
        <f t="shared" si="0"/>
        <v>0</v>
      </c>
      <c r="D24" s="51">
        <f>+SUMIF(SOFE!$J:$J,'Part IX - Expenses'!$A24,SOFE!E:E)</f>
        <v>0</v>
      </c>
      <c r="E24" s="51">
        <f>+SUMIF(SOFE!$J:$J,'Part IX - Expenses'!$A24,SOFE!F:F)</f>
        <v>0</v>
      </c>
      <c r="F24" s="51">
        <f>+SUMIF(SOFE!$J:$J,'Part IX - Expenses'!$A24,SOFE!G:G)</f>
        <v>0</v>
      </c>
      <c r="G24" s="217">
        <f>+SUMIF(SOFE!K:K,'Part IX - Expenses'!A24,SOFE!I:I)</f>
        <v>0</v>
      </c>
    </row>
    <row r="25" spans="1:7" x14ac:dyDescent="0.3">
      <c r="A25" s="45">
        <v>16</v>
      </c>
      <c r="B25" s="82" t="s">
        <v>166</v>
      </c>
      <c r="C25" s="50">
        <f t="shared" si="0"/>
        <v>0</v>
      </c>
      <c r="D25" s="51">
        <f>+SUMIF(SOFE!$J:$J,'Part IX - Expenses'!$A25,SOFE!E:E)</f>
        <v>0</v>
      </c>
      <c r="E25" s="51">
        <f>+SUMIF(SOFE!$J:$J,'Part IX - Expenses'!$A25,SOFE!F:F)</f>
        <v>0</v>
      </c>
      <c r="F25" s="51">
        <f>+SUMIF(SOFE!$J:$J,'Part IX - Expenses'!$A25,SOFE!G:G)</f>
        <v>0</v>
      </c>
      <c r="G25" s="217">
        <f>+SUMIF(SOFE!K:K,'Part IX - Expenses'!A25,SOFE!I:I)</f>
        <v>0</v>
      </c>
    </row>
    <row r="26" spans="1:7" x14ac:dyDescent="0.3">
      <c r="A26" s="45">
        <v>17</v>
      </c>
      <c r="B26" s="82" t="s">
        <v>167</v>
      </c>
      <c r="C26" s="50">
        <f t="shared" si="0"/>
        <v>0</v>
      </c>
      <c r="D26" s="51">
        <f>+SUMIF(SOFE!$J:$J,'Part IX - Expenses'!$A26,SOFE!E:E)</f>
        <v>0</v>
      </c>
      <c r="E26" s="51">
        <f>+SUMIF(SOFE!$J:$J,'Part IX - Expenses'!$A26,SOFE!F:F)</f>
        <v>0</v>
      </c>
      <c r="F26" s="51">
        <f>+SUMIF(SOFE!$J:$J,'Part IX - Expenses'!$A26,SOFE!G:G)</f>
        <v>0</v>
      </c>
      <c r="G26" s="217">
        <f>+SUMIF(SOFE!K:K,'Part IX - Expenses'!A26,SOFE!I:I)</f>
        <v>0</v>
      </c>
    </row>
    <row r="27" spans="1:7" x14ac:dyDescent="0.3">
      <c r="A27" s="45">
        <v>18</v>
      </c>
      <c r="B27" s="82" t="s">
        <v>168</v>
      </c>
      <c r="C27" s="50">
        <f t="shared" si="0"/>
        <v>0</v>
      </c>
      <c r="D27" s="51">
        <f>+SUMIF(SOFE!$J:$J,'Part IX - Expenses'!$A27,SOFE!E:E)</f>
        <v>0</v>
      </c>
      <c r="E27" s="51">
        <f>+SUMIF(SOFE!$J:$J,'Part IX - Expenses'!$A27,SOFE!F:F)</f>
        <v>0</v>
      </c>
      <c r="F27" s="51">
        <f>+SUMIF(SOFE!$J:$J,'Part IX - Expenses'!$A27,SOFE!G:G)</f>
        <v>0</v>
      </c>
      <c r="G27" s="217">
        <f>+SUMIF(SOFE!K:K,'Part IX - Expenses'!A27,SOFE!I:I)</f>
        <v>0</v>
      </c>
    </row>
    <row r="28" spans="1:7" x14ac:dyDescent="0.3">
      <c r="A28" s="45">
        <v>19</v>
      </c>
      <c r="B28" s="82" t="s">
        <v>169</v>
      </c>
      <c r="C28" s="50">
        <f t="shared" si="0"/>
        <v>0</v>
      </c>
      <c r="D28" s="51">
        <f>+SUMIF(SOFE!$J:$J,'Part IX - Expenses'!$A28,SOFE!E:E)</f>
        <v>0</v>
      </c>
      <c r="E28" s="51">
        <f>+SUMIF(SOFE!$J:$J,'Part IX - Expenses'!$A28,SOFE!F:F)</f>
        <v>0</v>
      </c>
      <c r="F28" s="51">
        <f>+SUMIF(SOFE!$J:$J,'Part IX - Expenses'!$A28,SOFE!G:G)</f>
        <v>0</v>
      </c>
      <c r="G28" s="217">
        <f>+SUMIF(SOFE!K:K,'Part IX - Expenses'!A28,SOFE!I:I)</f>
        <v>0</v>
      </c>
    </row>
    <row r="29" spans="1:7" x14ac:dyDescent="0.3">
      <c r="A29" s="45">
        <v>20</v>
      </c>
      <c r="B29" s="82" t="s">
        <v>170</v>
      </c>
      <c r="C29" s="50">
        <f t="shared" si="0"/>
        <v>0</v>
      </c>
      <c r="D29" s="51">
        <f>+SUMIF(SOFE!$J:$J,'Part IX - Expenses'!$A29,SOFE!E:E)</f>
        <v>0</v>
      </c>
      <c r="E29" s="51">
        <f>+SUMIF(SOFE!$J:$J,'Part IX - Expenses'!$A29,SOFE!F:F)</f>
        <v>0</v>
      </c>
      <c r="F29" s="51">
        <f>+SUMIF(SOFE!$J:$J,'Part IX - Expenses'!$A29,SOFE!G:G)</f>
        <v>0</v>
      </c>
      <c r="G29" s="217">
        <f>+SUMIF(SOFE!K:K,'Part IX - Expenses'!A29,SOFE!I:I)</f>
        <v>0</v>
      </c>
    </row>
    <row r="30" spans="1:7" x14ac:dyDescent="0.3">
      <c r="A30" s="45">
        <v>21</v>
      </c>
      <c r="B30" s="82" t="s">
        <v>171</v>
      </c>
      <c r="C30" s="50">
        <f t="shared" si="0"/>
        <v>0</v>
      </c>
      <c r="D30" s="51">
        <f>+SUMIF(SOFE!$J:$J,'Part IX - Expenses'!$A30,SOFE!E:E)</f>
        <v>0</v>
      </c>
      <c r="E30" s="51">
        <f>+SUMIF(SOFE!$J:$J,'Part IX - Expenses'!$A30,SOFE!F:F)</f>
        <v>0</v>
      </c>
      <c r="F30" s="51">
        <f>+SUMIF(SOFE!$J:$J,'Part IX - Expenses'!$A30,SOFE!G:G)</f>
        <v>0</v>
      </c>
      <c r="G30" s="217">
        <f>+SUMIF(SOFE!K:K,'Part IX - Expenses'!A30,SOFE!I:I)</f>
        <v>0</v>
      </c>
    </row>
    <row r="31" spans="1:7" x14ac:dyDescent="0.3">
      <c r="A31" s="45">
        <v>22</v>
      </c>
      <c r="B31" s="82" t="s">
        <v>172</v>
      </c>
      <c r="C31" s="50">
        <f t="shared" si="0"/>
        <v>0</v>
      </c>
      <c r="D31" s="51">
        <f>+SUMIF(SOFE!$J:$J,'Part IX - Expenses'!$A31,SOFE!E:E)</f>
        <v>0</v>
      </c>
      <c r="E31" s="51">
        <f>+SUMIF(SOFE!$J:$J,'Part IX - Expenses'!$A31,SOFE!F:F)</f>
        <v>0</v>
      </c>
      <c r="F31" s="51">
        <f>+SUMIF(SOFE!$J:$J,'Part IX - Expenses'!$A31,SOFE!G:G)</f>
        <v>0</v>
      </c>
      <c r="G31" s="217">
        <f>+SUMIF(SOFE!K:K,'Part IX - Expenses'!A31,SOFE!I:I)</f>
        <v>0</v>
      </c>
    </row>
    <row r="32" spans="1:7" x14ac:dyDescent="0.3">
      <c r="A32" s="45">
        <v>23</v>
      </c>
      <c r="B32" s="82" t="s">
        <v>173</v>
      </c>
      <c r="C32" s="50">
        <f t="shared" si="0"/>
        <v>0</v>
      </c>
      <c r="D32" s="51">
        <f>+SUMIF(SOFE!$J:$J,'Part IX - Expenses'!$A32,SOFE!E:E)</f>
        <v>0</v>
      </c>
      <c r="E32" s="51">
        <f>+SUMIF(SOFE!$J:$J,'Part IX - Expenses'!$A32,SOFE!F:F)</f>
        <v>0</v>
      </c>
      <c r="F32" s="51">
        <f>+SUMIF(SOFE!$J:$J,'Part IX - Expenses'!$A32,SOFE!G:G)</f>
        <v>0</v>
      </c>
      <c r="G32" s="217">
        <f>+SUMIF(SOFE!K:K,'Part IX - Expenses'!A32,SOFE!I:I)</f>
        <v>0</v>
      </c>
    </row>
    <row r="33" spans="1:7" ht="28.8" x14ac:dyDescent="0.3">
      <c r="A33" s="83">
        <v>24</v>
      </c>
      <c r="B33" s="84" t="s">
        <v>174</v>
      </c>
      <c r="C33" s="54"/>
      <c r="D33" s="54"/>
      <c r="E33" s="54"/>
      <c r="F33" s="54"/>
      <c r="G33" s="217">
        <f>+SUMIF(SOFE!K:K,'Part IX - Expenses'!A33,SOFE!I:I)</f>
        <v>0</v>
      </c>
    </row>
    <row r="34" spans="1:7" x14ac:dyDescent="0.3">
      <c r="A34" s="45" t="s">
        <v>175</v>
      </c>
      <c r="B34" s="82" t="str">
        <f>IFERROR(INDEX(SOFE!$A:$J,MATCH('Part IX - Expenses'!A34,SOFE!$J:$J,0),1),"")</f>
        <v/>
      </c>
      <c r="C34" s="50">
        <f t="shared" ref="C34:C38" si="1">SUM(D34:F34)</f>
        <v>0</v>
      </c>
      <c r="D34" s="51">
        <f>+SUMIF(SOFE!$J:$J,'Part IX - Expenses'!$A34,SOFE!E:E)</f>
        <v>0</v>
      </c>
      <c r="E34" s="51">
        <f>+SUMIF(SOFE!$J:$J,'Part IX - Expenses'!$A34,SOFE!F:F)</f>
        <v>0</v>
      </c>
      <c r="F34" s="51">
        <f>+SUMIF(SOFE!$J:$J,'Part IX - Expenses'!$A34,SOFE!G:G)</f>
        <v>0</v>
      </c>
      <c r="G34" s="217">
        <f>+SUMIF(SOFE!K:K,'Part IX - Expenses'!A34,SOFE!I:I)</f>
        <v>0</v>
      </c>
    </row>
    <row r="35" spans="1:7" x14ac:dyDescent="0.3">
      <c r="A35" s="45" t="s">
        <v>176</v>
      </c>
      <c r="B35" s="82" t="str">
        <f>IFERROR(INDEX(SOFE!$A:$J,MATCH('Part IX - Expenses'!A35,SOFE!$J:$J,0),1),"")</f>
        <v/>
      </c>
      <c r="C35" s="50">
        <f t="shared" si="1"/>
        <v>0</v>
      </c>
      <c r="D35" s="51">
        <f>+SUMIF(SOFE!$J:$J,'Part IX - Expenses'!$A35,SOFE!E:E)</f>
        <v>0</v>
      </c>
      <c r="E35" s="51">
        <f>+SUMIF(SOFE!$J:$J,'Part IX - Expenses'!$A35,SOFE!F:F)</f>
        <v>0</v>
      </c>
      <c r="F35" s="51">
        <f>+SUMIF(SOFE!$J:$J,'Part IX - Expenses'!$A35,SOFE!G:G)</f>
        <v>0</v>
      </c>
      <c r="G35" s="217">
        <f>+SUMIF(SOFE!K:K,'Part IX - Expenses'!A35,SOFE!I:I)</f>
        <v>0</v>
      </c>
    </row>
    <row r="36" spans="1:7" x14ac:dyDescent="0.3">
      <c r="A36" s="45" t="s">
        <v>177</v>
      </c>
      <c r="B36" s="82" t="str">
        <f>IFERROR(INDEX(SOFE!$A:$J,MATCH('Part IX - Expenses'!A36,SOFE!$J:$J,0),1),"")</f>
        <v/>
      </c>
      <c r="C36" s="50">
        <f t="shared" si="1"/>
        <v>0</v>
      </c>
      <c r="D36" s="51">
        <f>+SUMIF(SOFE!$J:$J,'Part IX - Expenses'!$A36,SOFE!E:E)</f>
        <v>0</v>
      </c>
      <c r="E36" s="51">
        <f>+SUMIF(SOFE!$J:$J,'Part IX - Expenses'!$A36,SOFE!F:F)</f>
        <v>0</v>
      </c>
      <c r="F36" s="51">
        <f>+SUMIF(SOFE!$J:$J,'Part IX - Expenses'!$A36,SOFE!G:G)</f>
        <v>0</v>
      </c>
      <c r="G36" s="217">
        <f>+SUMIF(SOFE!K:K,'Part IX - Expenses'!A36,SOFE!I:I)</f>
        <v>0</v>
      </c>
    </row>
    <row r="37" spans="1:7" x14ac:dyDescent="0.3">
      <c r="A37" s="45" t="s">
        <v>178</v>
      </c>
      <c r="B37" s="82" t="str">
        <f>IFERROR(INDEX(SOFE!$A:$J,MATCH('Part IX - Expenses'!A37,SOFE!$J:$J,0),1),"")</f>
        <v/>
      </c>
      <c r="C37" s="50">
        <f t="shared" si="1"/>
        <v>0</v>
      </c>
      <c r="D37" s="51">
        <f>+SUMIF(SOFE!$J:$J,'Part IX - Expenses'!$A37,SOFE!E:E)</f>
        <v>0</v>
      </c>
      <c r="E37" s="51">
        <f>+SUMIF(SOFE!$J:$J,'Part IX - Expenses'!$A37,SOFE!F:F)</f>
        <v>0</v>
      </c>
      <c r="F37" s="51">
        <f>+SUMIF(SOFE!$J:$J,'Part IX - Expenses'!$A37,SOFE!G:G)</f>
        <v>0</v>
      </c>
      <c r="G37" s="247">
        <f>+SUMIF(SOFE!K:K,'Part IX - Expenses'!A37,SOFE!I:I)</f>
        <v>0</v>
      </c>
    </row>
    <row r="38" spans="1:7" x14ac:dyDescent="0.3">
      <c r="A38" s="183" t="s">
        <v>179</v>
      </c>
      <c r="B38" s="184" t="s">
        <v>180</v>
      </c>
      <c r="C38" s="185">
        <f t="shared" si="1"/>
        <v>0</v>
      </c>
      <c r="D38" s="180">
        <f>+SUMIF(SOFE!$J:$J,'Part IX - Expenses'!$A38,SOFE!E:E)</f>
        <v>0</v>
      </c>
      <c r="E38" s="180">
        <f>+SUMIF(SOFE!$J:$J,'Part IX - Expenses'!$A38,SOFE!F:F)</f>
        <v>0</v>
      </c>
      <c r="F38" s="180">
        <f>+SUMIF(SOFE!$J:$J,'Part IX - Expenses'!$A38,SOFE!G:G)</f>
        <v>0</v>
      </c>
      <c r="G38" s="247">
        <f>+SUMIF(SOFE!K:K,'Part IX - Expenses'!A38,SOFE!I:I)</f>
        <v>0</v>
      </c>
    </row>
    <row r="39" spans="1:7" s="55" customFormat="1" ht="15.6" x14ac:dyDescent="0.3">
      <c r="A39" s="186">
        <v>25</v>
      </c>
      <c r="B39" s="187" t="s">
        <v>181</v>
      </c>
      <c r="C39" s="248">
        <f>SUM(C4:C38)</f>
        <v>0</v>
      </c>
      <c r="D39" s="248">
        <f t="shared" ref="D39:G39" si="2">SUM(D4:D38)</f>
        <v>0</v>
      </c>
      <c r="E39" s="248">
        <f t="shared" si="2"/>
        <v>0</v>
      </c>
      <c r="F39" s="248">
        <f t="shared" si="2"/>
        <v>0</v>
      </c>
      <c r="G39" s="220">
        <f t="shared" si="2"/>
        <v>0</v>
      </c>
    </row>
    <row r="40" spans="1:7" x14ac:dyDescent="0.3">
      <c r="A40" s="60"/>
      <c r="C40" s="61"/>
      <c r="D40" s="61"/>
      <c r="E40" s="61"/>
      <c r="F40" s="61"/>
    </row>
    <row r="41" spans="1:7" x14ac:dyDescent="0.3">
      <c r="B41" s="57"/>
      <c r="C41" s="57"/>
      <c r="D41" s="57"/>
      <c r="E41" s="57"/>
      <c r="F41" s="57"/>
    </row>
    <row r="42" spans="1:7" x14ac:dyDescent="0.3">
      <c r="B42" s="57"/>
      <c r="C42" s="57"/>
      <c r="D42" s="57"/>
      <c r="E42" s="57"/>
      <c r="F42" s="57"/>
    </row>
    <row r="43" spans="1:7" x14ac:dyDescent="0.3">
      <c r="B43" s="57"/>
      <c r="C43" s="57"/>
      <c r="D43" s="57"/>
      <c r="E43" s="57"/>
      <c r="F43" s="57"/>
    </row>
    <row r="44" spans="1:7" x14ac:dyDescent="0.3">
      <c r="B44" s="57"/>
      <c r="C44" s="57"/>
      <c r="D44" s="57"/>
      <c r="E44" s="57"/>
      <c r="F44" s="57"/>
    </row>
    <row r="45" spans="1:7" x14ac:dyDescent="0.3">
      <c r="B45" s="57"/>
      <c r="C45" s="57"/>
      <c r="D45" s="57"/>
      <c r="E45" s="57"/>
      <c r="F45" s="57"/>
    </row>
    <row r="46" spans="1:7" x14ac:dyDescent="0.3">
      <c r="B46" s="57"/>
      <c r="C46" s="57"/>
      <c r="D46" s="57"/>
      <c r="E46" s="57"/>
      <c r="F46" s="57"/>
    </row>
    <row r="47" spans="1:7" x14ac:dyDescent="0.3">
      <c r="B47" s="57"/>
      <c r="C47" s="57"/>
      <c r="D47" s="57"/>
      <c r="E47" s="57"/>
      <c r="F47" s="57"/>
    </row>
    <row r="48" spans="1:7" x14ac:dyDescent="0.3">
      <c r="B48" s="57"/>
      <c r="C48" s="57"/>
      <c r="D48" s="57"/>
      <c r="E48" s="57"/>
      <c r="F48" s="57"/>
    </row>
    <row r="49" spans="2:6" x14ac:dyDescent="0.3">
      <c r="B49" s="57"/>
      <c r="C49" s="57"/>
      <c r="D49" s="57"/>
      <c r="E49" s="57"/>
      <c r="F49" s="57"/>
    </row>
  </sheetData>
  <sheetProtection algorithmName="SHA-512" hashValue="lwH/HaTOji5Jat+uXIV9c3flr/wrsv8PNgwyl8vWbILWn5FqmO+TyRgAkz+nlYHchej9OCkE3SeWhRMxNwlueA==" saltValue="2GY6zKjjKFJDbknb6ndwOA==" spinCount="100000" sheet="1" objects="1" scenarios="1"/>
  <protectedRanges>
    <protectedRange algorithmName="SHA-512" hashValue="hS5meglzzQfXiokxrcRvZ/70j9EA2LFlR70rnr+dnoaKHGpSpVqI8dEUk2eXfw5e+zhphAlfHcxeWmoi9nV/lQ==" saltValue="vck2XRY50V7vxYAYov52+A==" spinCount="100000" sqref="A1:F39 G39" name="Range1"/>
  </protectedRanges>
  <mergeCells count="1">
    <mergeCell ref="A2:F2"/>
  </mergeCells>
  <pageMargins left="0.7" right="0.7" top="0.75" bottom="0.75" header="0.3" footer="0.3"/>
  <pageSetup orientation="portrait" r:id="rId1"/>
  <customProperties>
    <customPr name="OrphanNamesChecke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tabColor rgb="FF92D050"/>
  </sheetPr>
  <dimension ref="A1:H42"/>
  <sheetViews>
    <sheetView zoomScaleNormal="100" workbookViewId="0">
      <selection activeCell="D38" sqref="D38"/>
    </sheetView>
  </sheetViews>
  <sheetFormatPr defaultColWidth="9.109375" defaultRowHeight="14.4" x14ac:dyDescent="0.3"/>
  <cols>
    <col min="1" max="1" width="3.44140625" style="57" customWidth="1"/>
    <col min="2" max="2" width="4.6640625" style="112" bestFit="1" customWidth="1"/>
    <col min="3" max="3" width="70.5546875" style="57" customWidth="1"/>
    <col min="4" max="5" width="18.33203125" style="61" customWidth="1"/>
    <col min="6" max="6" width="17.5546875" style="57" bestFit="1" customWidth="1"/>
    <col min="7" max="8" width="13.33203125" style="57" bestFit="1" customWidth="1"/>
    <col min="9" max="16384" width="9.109375" style="57"/>
  </cols>
  <sheetData>
    <row r="1" spans="1:7" ht="15" thickBot="1" x14ac:dyDescent="0.35"/>
    <row r="2" spans="1:7" ht="15" thickBot="1" x14ac:dyDescent="0.35">
      <c r="A2" s="286" t="s">
        <v>182</v>
      </c>
      <c r="B2" s="286"/>
      <c r="C2" s="286"/>
      <c r="D2" s="286"/>
      <c r="E2" s="286"/>
    </row>
    <row r="3" spans="1:7" s="58" customFormat="1" ht="15" thickBot="1" x14ac:dyDescent="0.35">
      <c r="A3" s="145"/>
      <c r="B3" s="74" t="s">
        <v>58</v>
      </c>
      <c r="C3" s="81" t="s">
        <v>59</v>
      </c>
      <c r="D3" s="115" t="s">
        <v>183</v>
      </c>
      <c r="E3" s="115" t="s">
        <v>184</v>
      </c>
    </row>
    <row r="4" spans="1:7" x14ac:dyDescent="0.3">
      <c r="A4" s="285" t="s">
        <v>185</v>
      </c>
      <c r="B4" s="83">
        <v>1</v>
      </c>
      <c r="C4" s="89" t="s">
        <v>186</v>
      </c>
      <c r="D4" s="51">
        <f>+SUMIF(SOFP!$E:$E,'Part X - Balance Sheet'!B4,SOFP!$C:$C)</f>
        <v>0</v>
      </c>
      <c r="E4" s="51">
        <f>+SUMIF(SOFP!$F:$F,'Part X - Balance Sheet'!B4,SOFP!$D:$D)</f>
        <v>0</v>
      </c>
    </row>
    <row r="5" spans="1:7" x14ac:dyDescent="0.3">
      <c r="A5" s="285"/>
      <c r="B5" s="83">
        <v>2</v>
      </c>
      <c r="C5" s="89" t="s">
        <v>187</v>
      </c>
      <c r="D5" s="51">
        <f>+SUMIF(SOFP!$E:$E,'Part X - Balance Sheet'!B5,SOFP!$C:$C)</f>
        <v>0</v>
      </c>
      <c r="E5" s="51">
        <f>+SUMIF(SOFP!$F:$F,'Part X - Balance Sheet'!B5,SOFP!$D:$D)</f>
        <v>0</v>
      </c>
      <c r="G5" s="113"/>
    </row>
    <row r="6" spans="1:7" x14ac:dyDescent="0.3">
      <c r="A6" s="285"/>
      <c r="B6" s="83">
        <v>3</v>
      </c>
      <c r="C6" s="89" t="s">
        <v>188</v>
      </c>
      <c r="D6" s="51">
        <f>+SUMIF(SOFP!$E:$E,'Part X - Balance Sheet'!B6,SOFP!$C:$C)</f>
        <v>0</v>
      </c>
      <c r="E6" s="51">
        <f>+SUMIF(SOFP!$F:$F,'Part X - Balance Sheet'!B6,SOFP!$D:$D)</f>
        <v>0</v>
      </c>
    </row>
    <row r="7" spans="1:7" x14ac:dyDescent="0.3">
      <c r="A7" s="285"/>
      <c r="B7" s="83">
        <v>4</v>
      </c>
      <c r="C7" s="89" t="s">
        <v>189</v>
      </c>
      <c r="D7" s="51">
        <f>+SUMIF(SOFP!$E:$E,'Part X - Balance Sheet'!B7,SOFP!$C:$C)</f>
        <v>0</v>
      </c>
      <c r="E7" s="51">
        <f>+SUMIF(SOFP!$F:$F,'Part X - Balance Sheet'!B7,SOFP!$D:$D)</f>
        <v>0</v>
      </c>
    </row>
    <row r="8" spans="1:7" ht="43.2" x14ac:dyDescent="0.3">
      <c r="A8" s="285"/>
      <c r="B8" s="83">
        <v>5</v>
      </c>
      <c r="C8" s="116" t="s">
        <v>190</v>
      </c>
      <c r="D8" s="51">
        <f>+SUMIF(SOFP!$E:$E,'Part X - Balance Sheet'!B8,SOFP!$C:$C)</f>
        <v>0</v>
      </c>
      <c r="E8" s="51">
        <f>+SUMIF(SOFP!$F:$F,'Part X - Balance Sheet'!B8,SOFP!$D:$D)</f>
        <v>0</v>
      </c>
    </row>
    <row r="9" spans="1:7" x14ac:dyDescent="0.3">
      <c r="A9" s="285"/>
      <c r="B9" s="83">
        <v>6</v>
      </c>
      <c r="C9" s="89" t="s">
        <v>191</v>
      </c>
      <c r="D9" s="51">
        <f>+SUMIF(SOFP!$E:$E,'Part X - Balance Sheet'!B9,SOFP!$C:$C)</f>
        <v>0</v>
      </c>
      <c r="E9" s="51">
        <f>+SUMIF(SOFP!$F:$F,'Part X - Balance Sheet'!B9,SOFP!$D:$D)</f>
        <v>0</v>
      </c>
    </row>
    <row r="10" spans="1:7" x14ac:dyDescent="0.3">
      <c r="A10" s="285"/>
      <c r="B10" s="83">
        <v>7</v>
      </c>
      <c r="C10" s="89" t="s">
        <v>192</v>
      </c>
      <c r="D10" s="51">
        <f>+SUMIF(SOFP!$E:$E,'Part X - Balance Sheet'!B10,SOFP!$C:$C)</f>
        <v>0</v>
      </c>
      <c r="E10" s="51">
        <f>+SUMIF(SOFP!$F:$F,'Part X - Balance Sheet'!B10,SOFP!$D:$D)</f>
        <v>0</v>
      </c>
    </row>
    <row r="11" spans="1:7" x14ac:dyDescent="0.3">
      <c r="A11" s="285"/>
      <c r="B11" s="83">
        <v>8</v>
      </c>
      <c r="C11" s="89" t="s">
        <v>193</v>
      </c>
      <c r="D11" s="51">
        <f>+SUMIF(SOFP!$E:$E,'Part X - Balance Sheet'!B11,SOFP!$C:$C)</f>
        <v>0</v>
      </c>
      <c r="E11" s="51">
        <f>+SUMIF(SOFP!$F:$F,'Part X - Balance Sheet'!B11,SOFP!$D:$D)</f>
        <v>0</v>
      </c>
    </row>
    <row r="12" spans="1:7" x14ac:dyDescent="0.3">
      <c r="A12" s="285"/>
      <c r="B12" s="83">
        <v>9</v>
      </c>
      <c r="C12" s="89" t="s">
        <v>194</v>
      </c>
      <c r="D12" s="51">
        <f>+SUMIF(SOFP!$E:$E,'Part X - Balance Sheet'!B12,SOFP!$C:$C)</f>
        <v>0</v>
      </c>
      <c r="E12" s="51">
        <f>+SUMIF(SOFP!$F:$F,'Part X - Balance Sheet'!B12,SOFP!$D:$D)</f>
        <v>0</v>
      </c>
    </row>
    <row r="13" spans="1:7" x14ac:dyDescent="0.3">
      <c r="A13" s="285"/>
      <c r="B13" s="83" t="s">
        <v>126</v>
      </c>
      <c r="C13" s="89" t="s">
        <v>195</v>
      </c>
      <c r="D13" s="51">
        <f>+SUMIF(SOFP!$E:$E,'Part X - Balance Sheet'!B13,SOFP!$C:$C)</f>
        <v>0</v>
      </c>
      <c r="E13" s="51">
        <f>+SUMIF(SOFP!$F:$F,'Part X - Balance Sheet'!B13,SOFP!$D:$D)</f>
        <v>0</v>
      </c>
      <c r="F13" s="113"/>
      <c r="G13" s="70"/>
    </row>
    <row r="14" spans="1:7" x14ac:dyDescent="0.3">
      <c r="A14" s="285"/>
      <c r="B14" s="83" t="s">
        <v>128</v>
      </c>
      <c r="C14" s="89" t="s">
        <v>196</v>
      </c>
      <c r="D14" s="51">
        <f>+SUMIF(SOFP!$E:$E,'Part X - Balance Sheet'!B14,SOFP!$C:$C)</f>
        <v>0</v>
      </c>
      <c r="E14" s="51">
        <f>+SUMIF(SOFP!$F:$F,'Part X - Balance Sheet'!B14,SOFP!$D:$D)</f>
        <v>0</v>
      </c>
      <c r="G14" s="68"/>
    </row>
    <row r="15" spans="1:7" x14ac:dyDescent="0.3">
      <c r="A15" s="285"/>
      <c r="B15" s="83"/>
      <c r="C15" s="89" t="s">
        <v>197</v>
      </c>
      <c r="D15" s="50">
        <f>+D13-D14</f>
        <v>0</v>
      </c>
      <c r="E15" s="50">
        <f>+E13-E14</f>
        <v>0</v>
      </c>
    </row>
    <row r="16" spans="1:7" x14ac:dyDescent="0.3">
      <c r="A16" s="285"/>
      <c r="B16" s="83">
        <v>11</v>
      </c>
      <c r="C16" s="89" t="s">
        <v>198</v>
      </c>
      <c r="D16" s="51">
        <f>+SUMIF(SOFP!$E:$E,'Part X - Balance Sheet'!B16,SOFP!$C:$C)</f>
        <v>0</v>
      </c>
      <c r="E16" s="51">
        <f>+SUMIF(SOFP!$F:$F,'Part X - Balance Sheet'!B16,SOFP!$D:$D)</f>
        <v>0</v>
      </c>
    </row>
    <row r="17" spans="1:8" x14ac:dyDescent="0.3">
      <c r="A17" s="285"/>
      <c r="B17" s="83">
        <v>12</v>
      </c>
      <c r="C17" s="89" t="s">
        <v>199</v>
      </c>
      <c r="D17" s="51">
        <f>+SUMIF(SOFP!$E:$E,'Part X - Balance Sheet'!B17,SOFP!$C:$C)</f>
        <v>0</v>
      </c>
      <c r="E17" s="51">
        <f>+SUMIF(SOFP!$F:$F,'Part X - Balance Sheet'!B17,SOFP!$D:$D)</f>
        <v>0</v>
      </c>
    </row>
    <row r="18" spans="1:8" x14ac:dyDescent="0.3">
      <c r="A18" s="285"/>
      <c r="B18" s="83">
        <v>13</v>
      </c>
      <c r="C18" s="89" t="s">
        <v>200</v>
      </c>
      <c r="D18" s="51">
        <f>+SUMIF(SOFP!$E:$E,'Part X - Balance Sheet'!B18,SOFP!$C:$C)</f>
        <v>0</v>
      </c>
      <c r="E18" s="51">
        <f>+SUMIF(SOFP!$F:$F,'Part X - Balance Sheet'!B18,SOFP!$D:$D)</f>
        <v>0</v>
      </c>
    </row>
    <row r="19" spans="1:8" x14ac:dyDescent="0.3">
      <c r="A19" s="285"/>
      <c r="B19" s="83">
        <v>14</v>
      </c>
      <c r="C19" s="89" t="s">
        <v>201</v>
      </c>
      <c r="D19" s="51">
        <f>+SUMIF(SOFP!$E:$E,'Part X - Balance Sheet'!B19,SOFP!$C:$C)</f>
        <v>0</v>
      </c>
      <c r="E19" s="51">
        <f>+SUMIF(SOFP!$F:$F,'Part X - Balance Sheet'!B19,SOFP!$D:$D)</f>
        <v>0</v>
      </c>
      <c r="G19" s="114"/>
      <c r="H19" s="114"/>
    </row>
    <row r="20" spans="1:8" ht="15" thickBot="1" x14ac:dyDescent="0.35">
      <c r="A20" s="285"/>
      <c r="B20" s="83">
        <v>15</v>
      </c>
      <c r="C20" s="89" t="s">
        <v>202</v>
      </c>
      <c r="D20" s="51">
        <f>+SUMIF(SOFP!$E:$E,'Part X - Balance Sheet'!B20,SOFP!$C:$C)</f>
        <v>0</v>
      </c>
      <c r="E20" s="51">
        <f>+SUMIF(SOFP!$F:$F,'Part X - Balance Sheet'!B20,SOFP!$D:$D)</f>
        <v>0</v>
      </c>
      <c r="G20" s="68"/>
      <c r="H20" s="68"/>
    </row>
    <row r="21" spans="1:8" ht="15" thickBot="1" x14ac:dyDescent="0.35">
      <c r="A21" s="285"/>
      <c r="B21" s="117">
        <v>16</v>
      </c>
      <c r="C21" s="118" t="s">
        <v>203</v>
      </c>
      <c r="D21" s="119">
        <f>SUM(D4:D12,D15:D20)</f>
        <v>0</v>
      </c>
      <c r="E21" s="119">
        <f>SUM(E4:E12,E15:E20)</f>
        <v>0</v>
      </c>
    </row>
    <row r="22" spans="1:8" ht="15" customHeight="1" x14ac:dyDescent="0.3">
      <c r="A22" s="287" t="s">
        <v>204</v>
      </c>
      <c r="B22" s="83">
        <v>17</v>
      </c>
      <c r="C22" s="89" t="s">
        <v>205</v>
      </c>
      <c r="D22" s="51">
        <f>+SUMIF(SOFP!$E:$E,'Part X - Balance Sheet'!B22,SOFP!$C:$C)</f>
        <v>0</v>
      </c>
      <c r="E22" s="51">
        <f>+SUMIF(SOFP!$F:$F,'Part X - Balance Sheet'!B22,SOFP!$D:$D)</f>
        <v>0</v>
      </c>
    </row>
    <row r="23" spans="1:8" x14ac:dyDescent="0.3">
      <c r="A23" s="285"/>
      <c r="B23" s="83">
        <v>18</v>
      </c>
      <c r="C23" s="89" t="s">
        <v>206</v>
      </c>
      <c r="D23" s="51">
        <f>+SUMIF(SOFP!$E:$E,'Part X - Balance Sheet'!B23,SOFP!$C:$C)</f>
        <v>0</v>
      </c>
      <c r="E23" s="51">
        <f>+SUMIF(SOFP!$F:$F,'Part X - Balance Sheet'!B23,SOFP!$D:$D)</f>
        <v>0</v>
      </c>
    </row>
    <row r="24" spans="1:8" x14ac:dyDescent="0.3">
      <c r="A24" s="285"/>
      <c r="B24" s="83">
        <v>19</v>
      </c>
      <c r="C24" s="89" t="s">
        <v>207</v>
      </c>
      <c r="D24" s="51">
        <f>+SUMIF(SOFP!$E:$E,'Part X - Balance Sheet'!B24,SOFP!$C:$C)</f>
        <v>0</v>
      </c>
      <c r="E24" s="51">
        <f>+SUMIF(SOFP!$F:$F,'Part X - Balance Sheet'!B24,SOFP!$D:$D)</f>
        <v>0</v>
      </c>
    </row>
    <row r="25" spans="1:8" x14ac:dyDescent="0.3">
      <c r="A25" s="285"/>
      <c r="B25" s="83">
        <v>20</v>
      </c>
      <c r="C25" s="89" t="s">
        <v>208</v>
      </c>
      <c r="D25" s="51">
        <f>+SUMIF(SOFP!$E:$E,'Part X - Balance Sheet'!B25,SOFP!$C:$C)</f>
        <v>0</v>
      </c>
      <c r="E25" s="51">
        <f>+SUMIF(SOFP!$F:$F,'Part X - Balance Sheet'!B25,SOFP!$D:$D)</f>
        <v>0</v>
      </c>
    </row>
    <row r="26" spans="1:8" x14ac:dyDescent="0.3">
      <c r="A26" s="285"/>
      <c r="B26" s="83">
        <v>21</v>
      </c>
      <c r="C26" s="89" t="s">
        <v>209</v>
      </c>
      <c r="D26" s="51">
        <f>+SUMIF(SOFP!$E:$E,'Part X - Balance Sheet'!B26,SOFP!$C:$C)</f>
        <v>0</v>
      </c>
      <c r="E26" s="51">
        <f>+SUMIF(SOFP!$F:$F,'Part X - Balance Sheet'!B26,SOFP!$D:$D)</f>
        <v>0</v>
      </c>
    </row>
    <row r="27" spans="1:8" ht="28.8" x14ac:dyDescent="0.3">
      <c r="A27" s="285"/>
      <c r="B27" s="83">
        <v>22</v>
      </c>
      <c r="C27" s="116" t="s">
        <v>210</v>
      </c>
      <c r="D27" s="51">
        <f>+SUMIF(SOFP!$E:$E,'Part X - Balance Sheet'!B27,SOFP!$C:$C)</f>
        <v>0</v>
      </c>
      <c r="E27" s="51">
        <f>+SUMIF(SOFP!$F:$F,'Part X - Balance Sheet'!B27,SOFP!$D:$D)</f>
        <v>0</v>
      </c>
    </row>
    <row r="28" spans="1:8" x14ac:dyDescent="0.3">
      <c r="A28" s="285"/>
      <c r="B28" s="83">
        <v>23</v>
      </c>
      <c r="C28" s="89" t="s">
        <v>211</v>
      </c>
      <c r="D28" s="51">
        <f>+SUMIF(SOFP!$E:$E,'Part X - Balance Sheet'!B28,SOFP!$C:$C)</f>
        <v>0</v>
      </c>
      <c r="E28" s="51">
        <f>+SUMIF(SOFP!$F:$F,'Part X - Balance Sheet'!B28,SOFP!$D:$D)</f>
        <v>0</v>
      </c>
    </row>
    <row r="29" spans="1:8" x14ac:dyDescent="0.3">
      <c r="A29" s="285"/>
      <c r="B29" s="83">
        <v>24</v>
      </c>
      <c r="C29" s="89" t="s">
        <v>212</v>
      </c>
      <c r="D29" s="51">
        <f>+SUMIF(SOFP!$E:$E,'Part X - Balance Sheet'!B29,SOFP!$C:$C)</f>
        <v>0</v>
      </c>
      <c r="E29" s="51">
        <f>+SUMIF(SOFP!$F:$F,'Part X - Balance Sheet'!B29,SOFP!$D:$D)</f>
        <v>0</v>
      </c>
    </row>
    <row r="30" spans="1:8" ht="29.4" thickBot="1" x14ac:dyDescent="0.35">
      <c r="A30" s="285"/>
      <c r="B30" s="83">
        <v>25</v>
      </c>
      <c r="C30" s="116" t="s">
        <v>213</v>
      </c>
      <c r="D30" s="51">
        <f>+SUMIF(SOFP!$E:$E,'Part X - Balance Sheet'!B30,SOFP!$C:$C)</f>
        <v>0</v>
      </c>
      <c r="E30" s="51">
        <f>+SUMIF(SOFP!$F:$F,'Part X - Balance Sheet'!B30,SOFP!$D:$D)</f>
        <v>0</v>
      </c>
    </row>
    <row r="31" spans="1:8" ht="15" thickBot="1" x14ac:dyDescent="0.35">
      <c r="A31" s="288"/>
      <c r="B31" s="117">
        <v>26</v>
      </c>
      <c r="C31" s="118" t="s">
        <v>214</v>
      </c>
      <c r="D31" s="119">
        <f>+SUM(D22:D30)</f>
        <v>0</v>
      </c>
      <c r="E31" s="119">
        <f>+SUM(E22:E30)</f>
        <v>0</v>
      </c>
    </row>
    <row r="32" spans="1:8" ht="24.75" customHeight="1" x14ac:dyDescent="0.3">
      <c r="A32" s="285" t="s">
        <v>215</v>
      </c>
      <c r="B32" s="83"/>
      <c r="C32" s="120" t="s">
        <v>216</v>
      </c>
      <c r="D32" s="51"/>
      <c r="E32" s="51"/>
    </row>
    <row r="33" spans="1:6" x14ac:dyDescent="0.3">
      <c r="A33" s="285"/>
      <c r="B33" s="83">
        <v>27</v>
      </c>
      <c r="C33" s="89" t="s">
        <v>217</v>
      </c>
      <c r="D33" s="51">
        <f>+SUMIF(SOFP!$E:$E,'Part X - Balance Sheet'!B33,SOFP!$C:$C)</f>
        <v>0</v>
      </c>
      <c r="E33" s="51">
        <f>+SUMIF(SOFP!$F:$F,'Part X - Balance Sheet'!B33,SOFP!$D:$D)</f>
        <v>0</v>
      </c>
    </row>
    <row r="34" spans="1:6" x14ac:dyDescent="0.3">
      <c r="A34" s="285"/>
      <c r="B34" s="83">
        <v>28</v>
      </c>
      <c r="C34" s="89" t="s">
        <v>218</v>
      </c>
      <c r="D34" s="51">
        <f>+SUMIF(SOFP!$E:$E,'Part X - Balance Sheet'!B34,SOFP!$C:$C)</f>
        <v>0</v>
      </c>
      <c r="E34" s="51">
        <f>+SUMIF(SOFP!$F:$F,'Part X - Balance Sheet'!B34,SOFP!$D:$D)</f>
        <v>0</v>
      </c>
    </row>
    <row r="35" spans="1:6" ht="24" customHeight="1" x14ac:dyDescent="0.3">
      <c r="A35" s="285"/>
      <c r="B35" s="83"/>
      <c r="C35" s="120" t="s">
        <v>219</v>
      </c>
      <c r="D35" s="51"/>
      <c r="E35" s="51"/>
    </row>
    <row r="36" spans="1:6" x14ac:dyDescent="0.3">
      <c r="A36" s="285"/>
      <c r="B36" s="83">
        <v>29</v>
      </c>
      <c r="C36" s="89" t="s">
        <v>220</v>
      </c>
      <c r="D36" s="51">
        <f>+SUMIF(SOFP!$E:$E,'Part X - Balance Sheet'!B36,SOFP!$C:$C)</f>
        <v>0</v>
      </c>
      <c r="E36" s="51">
        <f>+SUMIF(SOFP!$F:$F,'Part X - Balance Sheet'!B36,SOFP!$D:$D)</f>
        <v>0</v>
      </c>
    </row>
    <row r="37" spans="1:6" x14ac:dyDescent="0.3">
      <c r="A37" s="285"/>
      <c r="B37" s="83">
        <v>30</v>
      </c>
      <c r="C37" s="89" t="s">
        <v>221</v>
      </c>
      <c r="D37" s="51">
        <f>+SUMIF(SOFP!$E:$E,'Part X - Balance Sheet'!B37,SOFP!$C:$C)</f>
        <v>0</v>
      </c>
      <c r="E37" s="51">
        <f>+SUMIF(SOFP!$F:$F,'Part X - Balance Sheet'!B37,SOFP!$D:$D)</f>
        <v>0</v>
      </c>
    </row>
    <row r="38" spans="1:6" ht="15" thickBot="1" x14ac:dyDescent="0.35">
      <c r="A38" s="285"/>
      <c r="B38" s="83">
        <v>31</v>
      </c>
      <c r="C38" s="89" t="s">
        <v>222</v>
      </c>
      <c r="D38" s="51">
        <f>+SUMIF(SOFP!$E:$E,'Part X - Balance Sheet'!B38,SOFP!$C:$C)</f>
        <v>0</v>
      </c>
      <c r="E38" s="51">
        <f>+SUMIF(SOFP!$F:$F,'Part X - Balance Sheet'!B38,SOFP!$D:$D)</f>
        <v>0</v>
      </c>
    </row>
    <row r="39" spans="1:6" ht="15" thickBot="1" x14ac:dyDescent="0.35">
      <c r="A39" s="285"/>
      <c r="B39" s="117">
        <v>32</v>
      </c>
      <c r="C39" s="118" t="s">
        <v>223</v>
      </c>
      <c r="D39" s="119">
        <f>SUM(D33:D38)</f>
        <v>0</v>
      </c>
      <c r="E39" s="119">
        <f>SUM(E33:E38)</f>
        <v>0</v>
      </c>
    </row>
    <row r="40" spans="1:6" ht="15" thickBot="1" x14ac:dyDescent="0.35">
      <c r="A40" s="288"/>
      <c r="B40" s="121">
        <v>33</v>
      </c>
      <c r="C40" s="122" t="s">
        <v>224</v>
      </c>
      <c r="D40" s="52">
        <f>D31+D39</f>
        <v>0</v>
      </c>
      <c r="E40" s="52">
        <f>E31+E39</f>
        <v>0</v>
      </c>
    </row>
    <row r="41" spans="1:6" x14ac:dyDescent="0.3">
      <c r="A41"/>
      <c r="B41" s="42"/>
      <c r="C41"/>
      <c r="D41" s="85"/>
      <c r="E41" s="85"/>
    </row>
    <row r="42" spans="1:6" x14ac:dyDescent="0.3">
      <c r="A42"/>
      <c r="B42" s="42"/>
      <c r="C42"/>
      <c r="D42" s="85">
        <f>+D21-D40</f>
        <v>0</v>
      </c>
      <c r="E42" s="85">
        <f>+E21-E40</f>
        <v>0</v>
      </c>
      <c r="F42" s="59" t="s">
        <v>225</v>
      </c>
    </row>
  </sheetData>
  <sheetProtection algorithmName="SHA-512" hashValue="1H8E+W6QcD1hwAj3GhtriqOmC4iR2kakMD3BPjQ+RsHbHHj4muurxPp6aOrFHNevsGnDBf5E1WZ2Z+eMqtLzew==" saltValue="SvhlVUn2p5uzOq9WW+bb3Q==" spinCount="100000" sheet="1" objects="1" scenarios="1" insertColumns="0" insertRows="0" deleteColumns="0" deleteRows="0"/>
  <mergeCells count="4">
    <mergeCell ref="A4:A21"/>
    <mergeCell ref="A2:E2"/>
    <mergeCell ref="A22:A31"/>
    <mergeCell ref="A32:A40"/>
  </mergeCells>
  <pageMargins left="0.7" right="0.7" top="0.75" bottom="0.75" header="0.3" footer="0.3"/>
  <pageSetup paperSize="9" scale="75" orientation="portrait" r:id="rId1"/>
  <colBreaks count="1" manualBreakCount="1">
    <brk id="5" max="1048575" man="1"/>
  </colBreaks>
  <customProperties>
    <customPr name="OrphanNamesChecke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tabColor rgb="FF92D050"/>
  </sheetPr>
  <dimension ref="A1:D47"/>
  <sheetViews>
    <sheetView workbookViewId="0">
      <selection activeCell="B25" sqref="B25"/>
    </sheetView>
  </sheetViews>
  <sheetFormatPr defaultColWidth="9.109375" defaultRowHeight="14.4" x14ac:dyDescent="0.3"/>
  <cols>
    <col min="1" max="1" width="61.33203125" style="56" bestFit="1" customWidth="1"/>
    <col min="2" max="2" width="14" style="56" bestFit="1" customWidth="1"/>
    <col min="3" max="3" width="9.109375" style="57" hidden="1" customWidth="1"/>
    <col min="4" max="16384" width="9.109375" style="57"/>
  </cols>
  <sheetData>
    <row r="1" spans="1:3" ht="15" thickBot="1" x14ac:dyDescent="0.35"/>
    <row r="2" spans="1:3" ht="15" thickBot="1" x14ac:dyDescent="0.35">
      <c r="A2" s="289" t="s">
        <v>226</v>
      </c>
      <c r="B2" s="290"/>
    </row>
    <row r="3" spans="1:3" ht="15" thickBot="1" x14ac:dyDescent="0.35">
      <c r="A3" s="80" t="s">
        <v>59</v>
      </c>
      <c r="B3" s="80" t="s">
        <v>227</v>
      </c>
    </row>
    <row r="4" spans="1:3" x14ac:dyDescent="0.3">
      <c r="A4" s="69" t="s">
        <v>228</v>
      </c>
      <c r="B4" s="51">
        <f>+B14+B10-B13</f>
        <v>0</v>
      </c>
    </row>
    <row r="5" spans="1:3" x14ac:dyDescent="0.3">
      <c r="A5" s="69"/>
      <c r="B5" s="66"/>
    </row>
    <row r="6" spans="1:3" x14ac:dyDescent="0.3">
      <c r="A6" s="69" t="s">
        <v>229</v>
      </c>
      <c r="B6" s="66">
        <f>+SUMIF(SOR!F:F,'Part XI - Net Asset Recon.'!C6,SOR!B:B)</f>
        <v>0</v>
      </c>
      <c r="C6" s="57" t="s">
        <v>230</v>
      </c>
    </row>
    <row r="7" spans="1:3" x14ac:dyDescent="0.3">
      <c r="A7" s="69" t="s">
        <v>231</v>
      </c>
      <c r="B7" s="66">
        <f>+SUMIF(SOR!F:F,'Part XI - Net Asset Recon.'!C7,SOR!B:B)</f>
        <v>0</v>
      </c>
      <c r="C7" s="57" t="s">
        <v>232</v>
      </c>
    </row>
    <row r="8" spans="1:3" x14ac:dyDescent="0.3">
      <c r="A8" s="69" t="s">
        <v>233</v>
      </c>
      <c r="B8" s="66">
        <f>+SUMIF(SOR!F:F,'Part XI - Net Asset Recon.'!C8,SOR!B:B)</f>
        <v>0</v>
      </c>
      <c r="C8" s="57" t="s">
        <v>234</v>
      </c>
    </row>
    <row r="9" spans="1:3" x14ac:dyDescent="0.3">
      <c r="A9" s="69" t="s">
        <v>235</v>
      </c>
      <c r="B9" s="66">
        <f>+SUMIF(SOR!F:F,'Part XI - Net Asset Recon.'!C9,SOR!B:B)</f>
        <v>0</v>
      </c>
      <c r="C9" s="57" t="s">
        <v>236</v>
      </c>
    </row>
    <row r="10" spans="1:3" x14ac:dyDescent="0.3">
      <c r="A10" s="69"/>
      <c r="B10" s="131">
        <f>+SUM(B6:B9)</f>
        <v>0</v>
      </c>
    </row>
    <row r="11" spans="1:3" x14ac:dyDescent="0.3">
      <c r="A11" s="69" t="s">
        <v>237</v>
      </c>
      <c r="B11" s="66">
        <f>+SUMIF(SOR!F:F,'Part XI - Net Asset Recon.'!C11,SOR!B:B)</f>
        <v>0</v>
      </c>
      <c r="C11" s="57" t="s">
        <v>238</v>
      </c>
    </row>
    <row r="12" spans="1:3" x14ac:dyDescent="0.3">
      <c r="A12" s="69" t="s">
        <v>239</v>
      </c>
      <c r="B12" s="66">
        <v>0</v>
      </c>
    </row>
    <row r="13" spans="1:3" x14ac:dyDescent="0.3">
      <c r="A13" s="69"/>
      <c r="B13" s="132">
        <f>+SUM(B11:B12)</f>
        <v>0</v>
      </c>
    </row>
    <row r="14" spans="1:3" ht="15" thickBot="1" x14ac:dyDescent="0.35">
      <c r="A14" s="126" t="s">
        <v>240</v>
      </c>
      <c r="B14" s="133">
        <f>+'Part VIII - Revenue'!E48</f>
        <v>0</v>
      </c>
    </row>
    <row r="15" spans="1:3" x14ac:dyDescent="0.3">
      <c r="B15" s="61"/>
    </row>
    <row r="16" spans="1:3" ht="15" thickBot="1" x14ac:dyDescent="0.35">
      <c r="B16" s="61"/>
    </row>
    <row r="17" spans="1:4" ht="15" thickBot="1" x14ac:dyDescent="0.35">
      <c r="A17" s="289" t="s">
        <v>241</v>
      </c>
      <c r="B17" s="290"/>
    </row>
    <row r="18" spans="1:4" ht="15" thickBot="1" x14ac:dyDescent="0.35">
      <c r="A18" s="80" t="s">
        <v>59</v>
      </c>
      <c r="B18" s="80" t="s">
        <v>227</v>
      </c>
    </row>
    <row r="19" spans="1:4" x14ac:dyDescent="0.3">
      <c r="A19" s="69" t="s">
        <v>242</v>
      </c>
      <c r="B19" s="51">
        <f>+B29+B25-B28</f>
        <v>0</v>
      </c>
    </row>
    <row r="20" spans="1:4" x14ac:dyDescent="0.3">
      <c r="A20" s="69"/>
      <c r="B20" s="66"/>
    </row>
    <row r="21" spans="1:4" x14ac:dyDescent="0.3">
      <c r="A21" s="69" t="s">
        <v>243</v>
      </c>
      <c r="B21" s="66">
        <f>+SUMIF(SOFE!J:J,'Part XI - Net Asset Recon.'!C21,SOFE!H:H)</f>
        <v>0</v>
      </c>
      <c r="C21" s="57" t="s">
        <v>232</v>
      </c>
    </row>
    <row r="22" spans="1:4" x14ac:dyDescent="0.3">
      <c r="A22" s="69" t="s">
        <v>244</v>
      </c>
      <c r="B22" s="66">
        <f>+SUMIF(SOFE!J:J,'Part XI - Net Asset Recon.'!C22,SOFE!H:H)</f>
        <v>0</v>
      </c>
      <c r="C22" s="57" t="s">
        <v>234</v>
      </c>
    </row>
    <row r="23" spans="1:4" x14ac:dyDescent="0.3">
      <c r="A23" s="69" t="s">
        <v>245</v>
      </c>
      <c r="B23" s="66">
        <f>+SUMIF(SOFE!J:J,'Part XI - Net Asset Recon.'!C23,SOFE!H:H)</f>
        <v>0</v>
      </c>
      <c r="C23" s="57" t="s">
        <v>246</v>
      </c>
    </row>
    <row r="24" spans="1:4" x14ac:dyDescent="0.3">
      <c r="A24" s="69" t="s">
        <v>235</v>
      </c>
      <c r="B24" s="66">
        <f>+SUMIF(SOFE!J:J,'Part XI - Net Asset Recon.'!C24,SOFE!H:H)</f>
        <v>0</v>
      </c>
      <c r="C24" s="57" t="s">
        <v>236</v>
      </c>
    </row>
    <row r="25" spans="1:4" x14ac:dyDescent="0.3">
      <c r="A25" s="69"/>
      <c r="B25" s="131">
        <f>+SUM(B21:B24)</f>
        <v>0</v>
      </c>
    </row>
    <row r="26" spans="1:4" x14ac:dyDescent="0.3">
      <c r="A26" s="69" t="s">
        <v>237</v>
      </c>
      <c r="B26" s="66">
        <f>+SUMIF(SOFE!J:J,'Part XI - Net Asset Recon.'!C26,SOFE!H:H)</f>
        <v>0</v>
      </c>
      <c r="C26" s="57" t="s">
        <v>238</v>
      </c>
    </row>
    <row r="27" spans="1:4" x14ac:dyDescent="0.3">
      <c r="A27" s="69" t="s">
        <v>239</v>
      </c>
      <c r="B27" s="66">
        <v>0</v>
      </c>
    </row>
    <row r="28" spans="1:4" x14ac:dyDescent="0.3">
      <c r="A28" s="69"/>
      <c r="B28" s="132">
        <f>+SUM(B26:B27)</f>
        <v>0</v>
      </c>
    </row>
    <row r="29" spans="1:4" ht="15" thickBot="1" x14ac:dyDescent="0.35">
      <c r="A29" s="126" t="s">
        <v>247</v>
      </c>
      <c r="B29" s="133">
        <f>+'Part IX - Expenses'!C39</f>
        <v>0</v>
      </c>
    </row>
    <row r="31" spans="1:4" x14ac:dyDescent="0.3">
      <c r="D31" s="59"/>
    </row>
    <row r="32" spans="1:4" ht="15" thickBot="1" x14ac:dyDescent="0.35">
      <c r="B32" s="61"/>
    </row>
    <row r="33" spans="1:3" ht="15" thickBot="1" x14ac:dyDescent="0.35">
      <c r="A33" s="291" t="s">
        <v>248</v>
      </c>
      <c r="B33" s="291"/>
    </row>
    <row r="34" spans="1:3" ht="15" thickBot="1" x14ac:dyDescent="0.35">
      <c r="A34" s="80" t="s">
        <v>59</v>
      </c>
      <c r="B34" s="80" t="s">
        <v>227</v>
      </c>
    </row>
    <row r="35" spans="1:3" x14ac:dyDescent="0.3">
      <c r="A35" s="127" t="s">
        <v>249</v>
      </c>
      <c r="B35" s="134">
        <f>+'Part VIII - Revenue'!E48</f>
        <v>0</v>
      </c>
    </row>
    <row r="36" spans="1:3" x14ac:dyDescent="0.3">
      <c r="A36" s="66" t="s">
        <v>250</v>
      </c>
      <c r="B36" s="134">
        <f>+'Part IX - Expenses'!C39</f>
        <v>0</v>
      </c>
    </row>
    <row r="37" spans="1:3" x14ac:dyDescent="0.3">
      <c r="A37" s="66" t="s">
        <v>251</v>
      </c>
      <c r="B37" s="135">
        <f>B35-B36</f>
        <v>0</v>
      </c>
    </row>
    <row r="38" spans="1:3" ht="28.8" x14ac:dyDescent="0.3">
      <c r="A38" s="127" t="s">
        <v>252</v>
      </c>
      <c r="B38" s="134">
        <f>+'Part X - Balance Sheet'!D39</f>
        <v>0</v>
      </c>
    </row>
    <row r="39" spans="1:3" x14ac:dyDescent="0.3">
      <c r="A39" s="66" t="s">
        <v>253</v>
      </c>
      <c r="B39" s="128">
        <f>+B6</f>
        <v>0</v>
      </c>
      <c r="C39" s="57" t="s">
        <v>230</v>
      </c>
    </row>
    <row r="40" spans="1:3" x14ac:dyDescent="0.3">
      <c r="A40" s="127" t="s">
        <v>254</v>
      </c>
      <c r="B40" s="128">
        <f>+IF(B7=B21,B7-B21,B7)</f>
        <v>0</v>
      </c>
      <c r="C40" s="57" t="s">
        <v>232</v>
      </c>
    </row>
    <row r="41" spans="1:3" x14ac:dyDescent="0.3">
      <c r="A41" s="128" t="s">
        <v>255</v>
      </c>
      <c r="B41" s="128">
        <v>0</v>
      </c>
      <c r="C41" s="57" t="s">
        <v>238</v>
      </c>
    </row>
    <row r="42" spans="1:3" x14ac:dyDescent="0.3">
      <c r="A42" s="128" t="s">
        <v>256</v>
      </c>
      <c r="B42" s="128">
        <f>+IF(B8=B22,B8-B22,B8)</f>
        <v>0</v>
      </c>
      <c r="C42" s="57" t="s">
        <v>234</v>
      </c>
    </row>
    <row r="43" spans="1:3" x14ac:dyDescent="0.3">
      <c r="A43" s="128" t="s">
        <v>257</v>
      </c>
      <c r="B43" s="128">
        <f>+IF(B9=B24,B9,SUM(B9+B24))</f>
        <v>0</v>
      </c>
    </row>
    <row r="44" spans="1:3" ht="29.4" thickBot="1" x14ac:dyDescent="0.35">
      <c r="A44" s="129" t="s">
        <v>258</v>
      </c>
      <c r="B44" s="136">
        <f>+SUM(B37:B43)</f>
        <v>0</v>
      </c>
    </row>
    <row r="45" spans="1:3" x14ac:dyDescent="0.3">
      <c r="B45" s="67"/>
    </row>
    <row r="46" spans="1:3" x14ac:dyDescent="0.3">
      <c r="A46" s="130" t="s">
        <v>225</v>
      </c>
      <c r="B46" s="86">
        <f>+B44-'Part X - Balance Sheet'!E39</f>
        <v>0</v>
      </c>
    </row>
    <row r="47" spans="1:3" x14ac:dyDescent="0.3">
      <c r="B47" s="67"/>
    </row>
  </sheetData>
  <sheetProtection sheet="1" objects="1" scenarios="1"/>
  <mergeCells count="3">
    <mergeCell ref="A2:B2"/>
    <mergeCell ref="A17:B17"/>
    <mergeCell ref="A33:B33"/>
  </mergeCells>
  <pageMargins left="0.7" right="0.7" top="0.75" bottom="0.75" header="0.3" footer="0.3"/>
  <pageSetup orientation="portrait" r:id="rId1"/>
  <customProperties>
    <customPr name="OrphanNamesChecke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theme="2" tint="-0.249977111117893"/>
  </sheetPr>
  <dimension ref="A1:I9"/>
  <sheetViews>
    <sheetView workbookViewId="0">
      <selection activeCell="G4" sqref="G4"/>
    </sheetView>
  </sheetViews>
  <sheetFormatPr defaultRowHeight="14.4" x14ac:dyDescent="0.3"/>
  <cols>
    <col min="1" max="1" width="7.33203125" bestFit="1" customWidth="1"/>
    <col min="2" max="2" width="17.6640625" customWidth="1"/>
    <col min="3" max="3" width="30.44140625" customWidth="1"/>
    <col min="4" max="4" width="30.6640625" customWidth="1"/>
    <col min="5" max="5" width="33.44140625" customWidth="1"/>
    <col min="7" max="7" width="14.33203125" bestFit="1" customWidth="1"/>
    <col min="8" max="8" width="10" customWidth="1"/>
    <col min="9" max="9" width="9.5546875" customWidth="1"/>
  </cols>
  <sheetData>
    <row r="1" spans="1:9" s="42" customFormat="1" ht="28.8" x14ac:dyDescent="0.3">
      <c r="A1" s="139" t="s">
        <v>259</v>
      </c>
      <c r="B1" s="140" t="s">
        <v>260</v>
      </c>
      <c r="C1" s="139" t="s">
        <v>261</v>
      </c>
      <c r="D1" s="139" t="s">
        <v>262</v>
      </c>
      <c r="E1" s="139" t="s">
        <v>263</v>
      </c>
    </row>
    <row r="2" spans="1:9" x14ac:dyDescent="0.3">
      <c r="A2" s="8"/>
      <c r="B2" s="8"/>
    </row>
    <row r="3" spans="1:9" x14ac:dyDescent="0.3">
      <c r="A3" s="8"/>
      <c r="B3" s="8"/>
      <c r="G3" s="38"/>
      <c r="H3" s="38"/>
      <c r="I3" s="38"/>
    </row>
    <row r="4" spans="1:9" x14ac:dyDescent="0.3">
      <c r="A4" s="8"/>
      <c r="B4" s="8"/>
      <c r="G4" s="39"/>
      <c r="H4" s="138" t="s">
        <v>264</v>
      </c>
      <c r="I4" s="138" t="s">
        <v>265</v>
      </c>
    </row>
    <row r="5" spans="1:9" x14ac:dyDescent="0.3">
      <c r="C5" s="137"/>
      <c r="G5" s="43" t="s">
        <v>266</v>
      </c>
      <c r="H5" s="39"/>
      <c r="I5" s="39"/>
    </row>
    <row r="6" spans="1:9" x14ac:dyDescent="0.3">
      <c r="G6" s="44" t="s">
        <v>267</v>
      </c>
      <c r="H6" s="39"/>
      <c r="I6" s="39"/>
    </row>
    <row r="7" spans="1:9" x14ac:dyDescent="0.3">
      <c r="G7" s="44" t="s">
        <v>268</v>
      </c>
      <c r="H7" s="39"/>
      <c r="I7" s="39"/>
    </row>
    <row r="8" spans="1:9" x14ac:dyDescent="0.3">
      <c r="G8" s="44" t="s">
        <v>269</v>
      </c>
      <c r="H8" s="39"/>
      <c r="I8" s="39"/>
    </row>
    <row r="9" spans="1:9" x14ac:dyDescent="0.3">
      <c r="G9" s="44" t="s">
        <v>270</v>
      </c>
      <c r="H9" s="39"/>
      <c r="I9" s="39"/>
    </row>
  </sheetData>
  <pageMargins left="0.7" right="0.7" top="0.75" bottom="0.75" header="0.3" footer="0.3"/>
  <pageSetup orientation="portrait" r:id="rId1"/>
  <customProperties>
    <customPr name="OrphanNamesChecke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E1"/>
  <sheetViews>
    <sheetView zoomScaleNormal="100" workbookViewId="0">
      <selection activeCell="H36" sqref="H36"/>
    </sheetView>
  </sheetViews>
  <sheetFormatPr defaultRowHeight="14.4" x14ac:dyDescent="0.3"/>
  <cols>
    <col min="5" max="5" width="9.109375" style="3"/>
  </cols>
  <sheetData/>
  <pageMargins left="0.7" right="0.7" top="0.75" bottom="0.75" header="0.3" footer="0.3"/>
  <pageSetup paperSize="9" orientation="portrait" verticalDpi="0" r:id="rId1"/>
  <customProperties>
    <customPr name="OrphanNamesChecke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H98"/>
  <sheetViews>
    <sheetView tabSelected="1" workbookViewId="0">
      <selection activeCell="A2" sqref="A2"/>
    </sheetView>
  </sheetViews>
  <sheetFormatPr defaultRowHeight="14.4" x14ac:dyDescent="0.3"/>
  <cols>
    <col min="1" max="1" width="39.6640625" style="28" bestFit="1" customWidth="1"/>
    <col min="2" max="2" width="13.44140625" customWidth="1"/>
    <col min="3" max="3" width="12.5546875" customWidth="1"/>
    <col min="4" max="4" width="12.44140625" customWidth="1"/>
    <col min="5" max="5" width="18.5546875" bestFit="1" customWidth="1"/>
    <col min="6" max="6" width="15.109375" customWidth="1"/>
    <col min="7" max="7" width="18" bestFit="1" customWidth="1"/>
    <col min="8" max="8" width="13.88671875" style="8" bestFit="1" customWidth="1"/>
  </cols>
  <sheetData>
    <row r="1" spans="1:8" x14ac:dyDescent="0.3">
      <c r="A1" s="141"/>
    </row>
    <row r="2" spans="1:8" ht="15" thickBot="1" x14ac:dyDescent="0.35"/>
    <row r="3" spans="1:8" s="42" customFormat="1" ht="31.5" customHeight="1" x14ac:dyDescent="0.3">
      <c r="A3" s="189" t="s">
        <v>59</v>
      </c>
      <c r="B3" s="190" t="s">
        <v>331</v>
      </c>
      <c r="C3" s="191" t="s">
        <v>271</v>
      </c>
      <c r="D3" s="191" t="s">
        <v>272</v>
      </c>
      <c r="E3" s="191" t="s">
        <v>273</v>
      </c>
      <c r="F3" s="302" t="s">
        <v>303</v>
      </c>
      <c r="G3" s="214" t="s">
        <v>332</v>
      </c>
      <c r="H3" s="249" t="s">
        <v>302</v>
      </c>
    </row>
    <row r="4" spans="1:8" x14ac:dyDescent="0.3">
      <c r="A4" s="125"/>
      <c r="B4" s="53"/>
      <c r="C4" s="24"/>
      <c r="D4" s="24"/>
      <c r="E4" s="24"/>
      <c r="F4" s="24"/>
      <c r="G4" s="53"/>
      <c r="H4" s="53"/>
    </row>
    <row r="5" spans="1:8" x14ac:dyDescent="0.3">
      <c r="A5" s="125"/>
      <c r="B5" s="174"/>
      <c r="C5" s="176"/>
      <c r="D5" s="176"/>
      <c r="E5" s="176"/>
      <c r="F5" s="24"/>
      <c r="G5" s="89"/>
      <c r="H5" s="53"/>
    </row>
    <row r="6" spans="1:8" x14ac:dyDescent="0.3">
      <c r="A6" s="125"/>
      <c r="B6" s="174"/>
      <c r="C6" s="176"/>
      <c r="D6" s="175"/>
      <c r="E6" s="176"/>
      <c r="F6" s="24"/>
      <c r="G6" s="89"/>
      <c r="H6" s="53"/>
    </row>
    <row r="7" spans="1:8" x14ac:dyDescent="0.3">
      <c r="A7" s="125"/>
      <c r="B7" s="174"/>
      <c r="C7" s="176"/>
      <c r="D7" s="176"/>
      <c r="E7" s="176"/>
      <c r="F7" s="24"/>
      <c r="G7" s="89"/>
      <c r="H7" s="53"/>
    </row>
    <row r="8" spans="1:8" x14ac:dyDescent="0.3">
      <c r="A8" s="125"/>
      <c r="B8" s="174"/>
      <c r="C8" s="176"/>
      <c r="D8" s="175"/>
      <c r="E8" s="176"/>
      <c r="F8" s="24"/>
      <c r="G8" s="89"/>
      <c r="H8" s="53"/>
    </row>
    <row r="9" spans="1:8" x14ac:dyDescent="0.3">
      <c r="A9" s="125"/>
      <c r="B9" s="53"/>
      <c r="C9" s="24"/>
      <c r="D9" s="24"/>
      <c r="E9" s="24"/>
      <c r="F9" s="24"/>
      <c r="G9" s="89"/>
      <c r="H9" s="53"/>
    </row>
    <row r="10" spans="1:8" x14ac:dyDescent="0.3">
      <c r="A10" s="125"/>
      <c r="B10" s="53"/>
      <c r="C10" s="24"/>
      <c r="D10" s="24"/>
      <c r="E10" s="24"/>
      <c r="F10" s="24"/>
      <c r="G10" s="89"/>
      <c r="H10" s="53"/>
    </row>
    <row r="11" spans="1:8" x14ac:dyDescent="0.3">
      <c r="A11" s="125"/>
      <c r="B11" s="53"/>
      <c r="C11" s="24"/>
      <c r="D11" s="24"/>
      <c r="E11" s="24"/>
      <c r="F11" s="24"/>
      <c r="G11" s="89"/>
      <c r="H11" s="53"/>
    </row>
    <row r="12" spans="1:8" x14ac:dyDescent="0.3">
      <c r="A12" s="125"/>
      <c r="B12" s="53"/>
      <c r="C12" s="24"/>
      <c r="D12" s="24"/>
      <c r="E12" s="24"/>
      <c r="F12" s="24"/>
      <c r="G12" s="89"/>
      <c r="H12" s="53"/>
    </row>
    <row r="13" spans="1:8" x14ac:dyDescent="0.3">
      <c r="A13" s="125"/>
      <c r="B13" s="53"/>
      <c r="C13" s="24"/>
      <c r="D13" s="24"/>
      <c r="E13" s="24"/>
      <c r="F13" s="24"/>
      <c r="G13" s="89"/>
      <c r="H13" s="53"/>
    </row>
    <row r="14" spans="1:8" x14ac:dyDescent="0.3">
      <c r="A14" s="125"/>
      <c r="B14" s="53"/>
      <c r="C14" s="24"/>
      <c r="D14" s="24"/>
      <c r="E14" s="24"/>
      <c r="F14" s="24"/>
      <c r="G14" s="89"/>
      <c r="H14" s="53"/>
    </row>
    <row r="15" spans="1:8" x14ac:dyDescent="0.3">
      <c r="A15" s="125"/>
      <c r="B15" s="53"/>
      <c r="C15" s="24"/>
      <c r="D15" s="24"/>
      <c r="E15" s="24"/>
      <c r="F15" s="24"/>
      <c r="G15" s="89"/>
      <c r="H15" s="53"/>
    </row>
    <row r="16" spans="1:8" x14ac:dyDescent="0.3">
      <c r="A16" s="125"/>
      <c r="B16" s="53"/>
      <c r="C16" s="24"/>
      <c r="D16" s="24"/>
      <c r="E16" s="24"/>
      <c r="F16" s="24"/>
      <c r="G16" s="89"/>
      <c r="H16" s="53"/>
    </row>
    <row r="17" spans="1:8" x14ac:dyDescent="0.3">
      <c r="A17" s="125"/>
      <c r="B17" s="53"/>
      <c r="C17" s="24"/>
      <c r="D17" s="24"/>
      <c r="E17" s="24"/>
      <c r="F17" s="24"/>
      <c r="G17" s="177"/>
      <c r="H17" s="178"/>
    </row>
    <row r="18" spans="1:8" s="192" customFormat="1" ht="20.25" customHeight="1" thickBot="1" x14ac:dyDescent="0.35">
      <c r="A18" s="193" t="s">
        <v>274</v>
      </c>
      <c r="B18" s="194">
        <f>SUM(B4:B17)</f>
        <v>0</v>
      </c>
      <c r="C18" s="194">
        <f t="shared" ref="C18:E18" si="0">SUM(C4:C17)</f>
        <v>0</v>
      </c>
      <c r="D18" s="194">
        <f t="shared" si="0"/>
        <v>0</v>
      </c>
      <c r="E18" s="194">
        <f t="shared" si="0"/>
        <v>0</v>
      </c>
      <c r="F18" s="195"/>
      <c r="G18" s="196">
        <f>SUM(G4:G17)</f>
        <v>0</v>
      </c>
      <c r="H18" s="197"/>
    </row>
    <row r="19" spans="1:8" ht="15.6" x14ac:dyDescent="0.3">
      <c r="A19" s="143" t="s">
        <v>275</v>
      </c>
      <c r="F19" s="1"/>
    </row>
    <row r="20" spans="1:8" x14ac:dyDescent="0.3">
      <c r="A20" s="142" t="s">
        <v>276</v>
      </c>
      <c r="F20" s="1"/>
    </row>
    <row r="21" spans="1:8" x14ac:dyDescent="0.3">
      <c r="A21" s="142"/>
      <c r="F21" s="1"/>
    </row>
    <row r="22" spans="1:8" x14ac:dyDescent="0.3">
      <c r="A22" s="26"/>
      <c r="F22" s="1"/>
    </row>
    <row r="23" spans="1:8" x14ac:dyDescent="0.3">
      <c r="A23" s="26"/>
      <c r="F23" s="1"/>
    </row>
    <row r="24" spans="1:8" x14ac:dyDescent="0.3">
      <c r="A24" s="26"/>
      <c r="F24" s="1"/>
    </row>
    <row r="25" spans="1:8" x14ac:dyDescent="0.3">
      <c r="A25" s="26"/>
      <c r="F25" s="1"/>
    </row>
    <row r="26" spans="1:8" x14ac:dyDescent="0.3">
      <c r="A26" s="26"/>
      <c r="F26" s="1"/>
    </row>
    <row r="27" spans="1:8" x14ac:dyDescent="0.3">
      <c r="A27" s="26"/>
      <c r="F27" s="1"/>
    </row>
    <row r="28" spans="1:8" x14ac:dyDescent="0.3">
      <c r="A28" s="26"/>
      <c r="F28" s="1"/>
    </row>
    <row r="29" spans="1:8" x14ac:dyDescent="0.3">
      <c r="A29" s="26"/>
      <c r="F29" s="1"/>
    </row>
    <row r="30" spans="1:8" x14ac:dyDescent="0.3">
      <c r="A30" s="26"/>
      <c r="F30" s="1"/>
    </row>
    <row r="31" spans="1:8" x14ac:dyDescent="0.3">
      <c r="A31" s="26"/>
      <c r="F31" s="1"/>
    </row>
    <row r="32" spans="1:8" x14ac:dyDescent="0.3">
      <c r="A32" s="26"/>
      <c r="F32" s="1"/>
    </row>
    <row r="33" spans="1:6" x14ac:dyDescent="0.3">
      <c r="A33" s="26"/>
      <c r="F33" s="1"/>
    </row>
    <row r="34" spans="1:6" x14ac:dyDescent="0.3">
      <c r="A34" s="26"/>
      <c r="F34" s="1"/>
    </row>
    <row r="35" spans="1:6" x14ac:dyDescent="0.3">
      <c r="A35" s="26"/>
      <c r="F35" s="1"/>
    </row>
    <row r="36" spans="1:6" x14ac:dyDescent="0.3">
      <c r="A36" s="26"/>
      <c r="F36" s="1"/>
    </row>
    <row r="37" spans="1:6" x14ac:dyDescent="0.3">
      <c r="A37" s="26"/>
      <c r="F37" s="1"/>
    </row>
    <row r="38" spans="1:6" x14ac:dyDescent="0.3">
      <c r="A38" s="26"/>
      <c r="F38" s="1"/>
    </row>
    <row r="39" spans="1:6" x14ac:dyDescent="0.3">
      <c r="A39" s="26"/>
      <c r="F39" s="1"/>
    </row>
    <row r="40" spans="1:6" x14ac:dyDescent="0.3">
      <c r="A40" s="26"/>
      <c r="F40" s="1"/>
    </row>
    <row r="41" spans="1:6" x14ac:dyDescent="0.3">
      <c r="A41" s="26"/>
      <c r="F41" s="1"/>
    </row>
    <row r="42" spans="1:6" x14ac:dyDescent="0.3">
      <c r="A42" s="26"/>
      <c r="F42" s="1"/>
    </row>
    <row r="43" spans="1:6" x14ac:dyDescent="0.3">
      <c r="A43" s="26"/>
      <c r="F43" s="1"/>
    </row>
    <row r="44" spans="1:6" x14ac:dyDescent="0.3">
      <c r="A44" s="26"/>
      <c r="F44" s="1"/>
    </row>
    <row r="45" spans="1:6" x14ac:dyDescent="0.3">
      <c r="A45" s="26"/>
      <c r="F45" s="1"/>
    </row>
    <row r="46" spans="1:6" x14ac:dyDescent="0.3">
      <c r="A46" s="26"/>
      <c r="F46" s="1"/>
    </row>
    <row r="47" spans="1:6" x14ac:dyDescent="0.3">
      <c r="A47" s="26"/>
      <c r="F47" s="1"/>
    </row>
    <row r="48" spans="1:6" x14ac:dyDescent="0.3">
      <c r="A48" s="26"/>
      <c r="F48" s="1"/>
    </row>
    <row r="49" spans="1:6" x14ac:dyDescent="0.3">
      <c r="A49" s="26"/>
      <c r="F49" s="1"/>
    </row>
    <row r="50" spans="1:6" x14ac:dyDescent="0.3">
      <c r="A50" s="26"/>
      <c r="F50" s="1"/>
    </row>
    <row r="51" spans="1:6" x14ac:dyDescent="0.3">
      <c r="A51" s="26"/>
      <c r="F51" s="1"/>
    </row>
    <row r="52" spans="1:6" x14ac:dyDescent="0.3">
      <c r="A52" s="26"/>
      <c r="F52" s="1"/>
    </row>
    <row r="53" spans="1:6" x14ac:dyDescent="0.3">
      <c r="A53" s="26"/>
      <c r="F53" s="1"/>
    </row>
    <row r="54" spans="1:6" x14ac:dyDescent="0.3">
      <c r="A54" s="26"/>
      <c r="F54" s="1"/>
    </row>
    <row r="55" spans="1:6" x14ac:dyDescent="0.3">
      <c r="A55" s="26"/>
      <c r="F55" s="1"/>
    </row>
    <row r="56" spans="1:6" x14ac:dyDescent="0.3">
      <c r="A56" s="26"/>
      <c r="F56" s="1"/>
    </row>
    <row r="57" spans="1:6" x14ac:dyDescent="0.3">
      <c r="A57" s="26"/>
      <c r="F57" s="1"/>
    </row>
    <row r="58" spans="1:6" x14ac:dyDescent="0.3">
      <c r="A58" s="26"/>
      <c r="F58" s="1"/>
    </row>
    <row r="59" spans="1:6" x14ac:dyDescent="0.3">
      <c r="A59" s="26"/>
      <c r="F59" s="1"/>
    </row>
    <row r="60" spans="1:6" x14ac:dyDescent="0.3">
      <c r="A60" s="26"/>
      <c r="F60" s="1"/>
    </row>
    <row r="61" spans="1:6" x14ac:dyDescent="0.3">
      <c r="A61" s="26"/>
      <c r="F61" s="1"/>
    </row>
    <row r="62" spans="1:6" x14ac:dyDescent="0.3">
      <c r="A62" s="26"/>
      <c r="F62" s="1"/>
    </row>
    <row r="63" spans="1:6" x14ac:dyDescent="0.3">
      <c r="A63" s="26"/>
      <c r="F63" s="1"/>
    </row>
    <row r="64" spans="1:6" x14ac:dyDescent="0.3">
      <c r="A64" s="26"/>
      <c r="F64" s="1"/>
    </row>
    <row r="65" spans="1:6" x14ac:dyDescent="0.3">
      <c r="A65" s="26"/>
      <c r="F65" s="1"/>
    </row>
    <row r="66" spans="1:6" x14ac:dyDescent="0.3">
      <c r="A66" s="26"/>
      <c r="F66" s="1"/>
    </row>
    <row r="67" spans="1:6" x14ac:dyDescent="0.3">
      <c r="A67" s="26"/>
      <c r="F67" s="1"/>
    </row>
    <row r="68" spans="1:6" x14ac:dyDescent="0.3">
      <c r="A68" s="26"/>
      <c r="F68" s="1"/>
    </row>
    <row r="69" spans="1:6" x14ac:dyDescent="0.3">
      <c r="A69" s="26"/>
      <c r="F69" s="1"/>
    </row>
    <row r="70" spans="1:6" x14ac:dyDescent="0.3">
      <c r="A70" s="26"/>
      <c r="F70" s="1"/>
    </row>
    <row r="71" spans="1:6" x14ac:dyDescent="0.3">
      <c r="A71" s="26"/>
      <c r="F71" s="1"/>
    </row>
    <row r="72" spans="1:6" x14ac:dyDescent="0.3">
      <c r="A72" s="26"/>
      <c r="F72" s="1"/>
    </row>
    <row r="73" spans="1:6" x14ac:dyDescent="0.3">
      <c r="A73" s="26"/>
      <c r="F73" s="1"/>
    </row>
    <row r="74" spans="1:6" x14ac:dyDescent="0.3">
      <c r="A74" s="26"/>
      <c r="F74" s="1"/>
    </row>
    <row r="75" spans="1:6" x14ac:dyDescent="0.3">
      <c r="A75" s="26"/>
      <c r="F75" s="1"/>
    </row>
    <row r="76" spans="1:6" x14ac:dyDescent="0.3">
      <c r="A76" s="26"/>
      <c r="F76" s="1"/>
    </row>
    <row r="77" spans="1:6" x14ac:dyDescent="0.3">
      <c r="A77" s="26"/>
      <c r="F77" s="1"/>
    </row>
    <row r="78" spans="1:6" x14ac:dyDescent="0.3">
      <c r="A78" s="26"/>
      <c r="F78" s="1"/>
    </row>
    <row r="79" spans="1:6" x14ac:dyDescent="0.3">
      <c r="A79" s="26"/>
      <c r="F79" s="1"/>
    </row>
    <row r="80" spans="1:6" x14ac:dyDescent="0.3">
      <c r="A80" s="26"/>
      <c r="F80" s="1"/>
    </row>
    <row r="81" spans="1:6" x14ac:dyDescent="0.3">
      <c r="A81" s="26"/>
      <c r="F81" s="1"/>
    </row>
    <row r="82" spans="1:6" x14ac:dyDescent="0.3">
      <c r="A82" s="26"/>
      <c r="F82" s="1"/>
    </row>
    <row r="83" spans="1:6" x14ac:dyDescent="0.3">
      <c r="A83" s="26"/>
      <c r="F83" s="1"/>
    </row>
    <row r="84" spans="1:6" x14ac:dyDescent="0.3">
      <c r="A84" s="26"/>
      <c r="F84" s="1"/>
    </row>
    <row r="85" spans="1:6" x14ac:dyDescent="0.3">
      <c r="A85" s="26"/>
      <c r="F85" s="1"/>
    </row>
    <row r="86" spans="1:6" x14ac:dyDescent="0.3">
      <c r="A86" s="26"/>
      <c r="F86" s="1"/>
    </row>
    <row r="87" spans="1:6" x14ac:dyDescent="0.3">
      <c r="A87" s="26"/>
      <c r="F87" s="1"/>
    </row>
    <row r="88" spans="1:6" x14ac:dyDescent="0.3">
      <c r="A88" s="26"/>
      <c r="F88" s="1"/>
    </row>
    <row r="89" spans="1:6" x14ac:dyDescent="0.3">
      <c r="A89" s="26"/>
      <c r="F89" s="1"/>
    </row>
    <row r="90" spans="1:6" x14ac:dyDescent="0.3">
      <c r="A90" s="26"/>
      <c r="F90" s="1"/>
    </row>
    <row r="91" spans="1:6" x14ac:dyDescent="0.3">
      <c r="A91" s="26"/>
      <c r="F91" s="1"/>
    </row>
    <row r="92" spans="1:6" x14ac:dyDescent="0.3">
      <c r="A92" s="26"/>
      <c r="F92" s="1"/>
    </row>
    <row r="93" spans="1:6" x14ac:dyDescent="0.3">
      <c r="A93" s="26"/>
      <c r="F93" s="1"/>
    </row>
    <row r="94" spans="1:6" x14ac:dyDescent="0.3">
      <c r="A94" s="26"/>
      <c r="F94" s="1"/>
    </row>
    <row r="95" spans="1:6" x14ac:dyDescent="0.3">
      <c r="A95" s="26"/>
      <c r="F95" s="1"/>
    </row>
    <row r="96" spans="1:6" x14ac:dyDescent="0.3">
      <c r="A96" s="26"/>
      <c r="F96" s="1"/>
    </row>
    <row r="97" spans="1:8" x14ac:dyDescent="0.3">
      <c r="A97" s="26"/>
      <c r="F97" s="1"/>
    </row>
    <row r="98" spans="1:8" s="28" customFormat="1" x14ac:dyDescent="0.3">
      <c r="A98" s="26"/>
      <c r="F98" s="1"/>
      <c r="H98" s="88"/>
    </row>
  </sheetData>
  <dataValidations count="1">
    <dataValidation type="list" allowBlank="1" showInputMessage="1" showErrorMessage="1" sqref="H4:H17 F1:F2 F4:F1048576" xr:uid="{70BFBDC1-7056-4140-ADCE-ED6D81774653}">
      <formula1>"1a, 1b, 1c, 1d, 1e, 1f, 1g, 1h, 2a, 2b, 2c, 2d, 2e, 2f, 2g, 3, 4, 5, 6a-R, 6b-R, 6a-P, 6b-P, 7a-S, 7b-S, 7a-O, 7b-O, 8a, 8b, 9a, 9b, 10a, 10b, 11a, 11b, 11c, 11d, 11e, Adj-UG, Adj-DS, Adj-PY, Adj-Other, Adj-IE, Refer to Below Working"</formula1>
    </dataValidation>
  </dataValidations>
  <pageMargins left="0.7" right="0.7" top="0.75" bottom="0.75" header="0.3" footer="0.3"/>
  <pageSetup orientation="portrait" r:id="rId1"/>
  <headerFooter>
    <oddHeader>&amp;L&amp;"Arial,Bold"&amp;8 4:52 PM
&amp;"Arial,Bold"&amp;8 05/08/23
&amp;"Arial,Bold"&amp;8 Accrual Basis&amp;C&amp;"Arial,Bold"&amp;12 El Centro de Libertad/The Freedom Center, Inc.
&amp;"Arial,Bold"&amp;14 Profit &amp;&amp; Loss
&amp;"Arial,Bold"&amp;10 July 2021 through June 2022</oddHeader>
    <oddFooter>&amp;R&amp;"Arial,Bold"&amp;8 Page &amp;P of &amp;N</oddFooter>
  </headerFooter>
  <customProperties>
    <customPr name="OrphanNamesChecked" r:id="rId2"/>
  </customProperties>
  <drawing r:id="rId3"/>
  <legacyDrawing r:id="rId4"/>
  <controls>
    <mc:AlternateContent xmlns:mc="http://schemas.openxmlformats.org/markup-compatibility/2006">
      <mc:Choice Requires="x14">
        <control shapeId="26625" r:id="rId5" name="FILTER">
          <controlPr defaultSize="0" autoLine="0" r:id="rId6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26625" r:id="rId5" name="FILTER"/>
      </mc:Fallback>
    </mc:AlternateContent>
    <mc:AlternateContent xmlns:mc="http://schemas.openxmlformats.org/markup-compatibility/2006">
      <mc:Choice Requires="x14">
        <control shapeId="26626" r:id="rId7" name="HEADER">
          <controlPr defaultSize="0" autoLine="0" r:id="rId8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26626" r:id="rId7" name="HEADER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102"/>
  <sheetViews>
    <sheetView zoomScaleNormal="100" workbookViewId="0">
      <pane ySplit="3" topLeftCell="A4" activePane="bottomLeft" state="frozen"/>
      <selection activeCell="B14" sqref="B14"/>
      <selection pane="bottomLeft" activeCell="C33" sqref="C33:D36"/>
    </sheetView>
  </sheetViews>
  <sheetFormatPr defaultRowHeight="14.4" x14ac:dyDescent="0.3"/>
  <cols>
    <col min="1" max="1" width="38.6640625" customWidth="1"/>
    <col min="2" max="2" width="13.88671875" bestFit="1" customWidth="1"/>
    <col min="3" max="3" width="13.88671875" customWidth="1"/>
    <col min="4" max="5" width="15.109375" bestFit="1" customWidth="1"/>
    <col min="6" max="6" width="19.33203125" style="1" customWidth="1"/>
    <col min="7" max="7" width="15" customWidth="1"/>
    <col min="8" max="9" width="13.88671875" bestFit="1" customWidth="1"/>
    <col min="10" max="10" width="18.44140625" style="8" bestFit="1" customWidth="1"/>
    <col min="11" max="11" width="16.88671875" customWidth="1"/>
    <col min="12" max="12" width="13.88671875" bestFit="1" customWidth="1"/>
  </cols>
  <sheetData>
    <row r="1" spans="1:12" ht="15" thickBot="1" x14ac:dyDescent="0.35">
      <c r="J1"/>
    </row>
    <row r="2" spans="1:12" ht="15" thickBot="1" x14ac:dyDescent="0.35">
      <c r="A2" s="20"/>
      <c r="B2" s="292" t="s">
        <v>277</v>
      </c>
      <c r="C2" s="292"/>
      <c r="D2" s="292"/>
      <c r="E2" s="292"/>
      <c r="F2" s="292" t="s">
        <v>278</v>
      </c>
      <c r="G2" s="292"/>
      <c r="H2" s="20"/>
      <c r="I2" s="20"/>
      <c r="J2" s="20"/>
      <c r="K2" s="20"/>
    </row>
    <row r="3" spans="1:12" ht="29.4" thickBot="1" x14ac:dyDescent="0.35">
      <c r="A3" s="21" t="s">
        <v>59</v>
      </c>
      <c r="B3" s="23" t="s">
        <v>279</v>
      </c>
      <c r="C3" s="23" t="s">
        <v>280</v>
      </c>
      <c r="D3" s="23" t="s">
        <v>281</v>
      </c>
      <c r="E3" s="22" t="s">
        <v>277</v>
      </c>
      <c r="F3" s="21" t="s">
        <v>143</v>
      </c>
      <c r="G3" s="21" t="s">
        <v>144</v>
      </c>
      <c r="H3" s="22" t="s">
        <v>333</v>
      </c>
      <c r="I3" s="22" t="s">
        <v>334</v>
      </c>
      <c r="J3" s="22" t="s">
        <v>303</v>
      </c>
      <c r="K3" s="22" t="s">
        <v>302</v>
      </c>
    </row>
    <row r="4" spans="1:12" x14ac:dyDescent="0.3">
      <c r="A4" s="36"/>
      <c r="B4" s="37"/>
      <c r="C4" s="37"/>
      <c r="D4" s="37"/>
      <c r="E4" s="62">
        <f t="shared" ref="E4:E21" si="0">+SUM(B4:D4)</f>
        <v>0</v>
      </c>
      <c r="F4" s="41"/>
      <c r="G4" s="41"/>
      <c r="H4" s="63">
        <f t="shared" ref="H4:H21" si="1">+SUM(E4:G4)</f>
        <v>0</v>
      </c>
      <c r="I4" s="40"/>
      <c r="J4" s="46"/>
      <c r="K4" s="46"/>
    </row>
    <row r="5" spans="1:12" x14ac:dyDescent="0.3">
      <c r="A5" s="36"/>
      <c r="B5" s="37"/>
      <c r="C5" s="37"/>
      <c r="D5" s="37"/>
      <c r="E5" s="62">
        <f t="shared" si="0"/>
        <v>0</v>
      </c>
      <c r="F5" s="41"/>
      <c r="G5" s="41"/>
      <c r="H5" s="63">
        <f t="shared" si="1"/>
        <v>0</v>
      </c>
      <c r="I5" s="40"/>
      <c r="J5" s="48"/>
      <c r="K5" s="48"/>
    </row>
    <row r="6" spans="1:12" x14ac:dyDescent="0.3">
      <c r="A6" s="36"/>
      <c r="B6" s="37"/>
      <c r="C6" s="37"/>
      <c r="D6" s="37"/>
      <c r="E6" s="62">
        <f t="shared" si="0"/>
        <v>0</v>
      </c>
      <c r="F6" s="41"/>
      <c r="G6" s="41"/>
      <c r="H6" s="63">
        <f t="shared" si="1"/>
        <v>0</v>
      </c>
      <c r="I6" s="40"/>
      <c r="J6" s="47"/>
      <c r="K6" s="47"/>
    </row>
    <row r="7" spans="1:12" x14ac:dyDescent="0.3">
      <c r="A7" s="36"/>
      <c r="B7" s="37"/>
      <c r="C7" s="37"/>
      <c r="D7" s="37"/>
      <c r="E7" s="62">
        <f t="shared" si="0"/>
        <v>0</v>
      </c>
      <c r="F7" s="41"/>
      <c r="G7" s="41"/>
      <c r="H7" s="63">
        <f t="shared" si="1"/>
        <v>0</v>
      </c>
      <c r="I7" s="40"/>
      <c r="J7" s="48"/>
      <c r="K7" s="48"/>
    </row>
    <row r="8" spans="1:12" x14ac:dyDescent="0.3">
      <c r="A8" s="36"/>
      <c r="B8" s="37"/>
      <c r="C8" s="37"/>
      <c r="D8" s="37"/>
      <c r="E8" s="62">
        <f t="shared" si="0"/>
        <v>0</v>
      </c>
      <c r="F8" s="41"/>
      <c r="G8" s="41"/>
      <c r="H8" s="63">
        <f t="shared" si="1"/>
        <v>0</v>
      </c>
      <c r="I8" s="40"/>
      <c r="J8" s="47"/>
      <c r="K8" s="47"/>
    </row>
    <row r="9" spans="1:12" x14ac:dyDescent="0.3">
      <c r="A9" s="36"/>
      <c r="B9" s="37"/>
      <c r="C9" s="37"/>
      <c r="D9" s="37"/>
      <c r="E9" s="62">
        <f t="shared" si="0"/>
        <v>0</v>
      </c>
      <c r="F9" s="41"/>
      <c r="G9" s="41"/>
      <c r="H9" s="63">
        <f t="shared" si="1"/>
        <v>0</v>
      </c>
      <c r="I9" s="40"/>
      <c r="J9" s="47"/>
      <c r="K9" s="47"/>
    </row>
    <row r="10" spans="1:12" x14ac:dyDescent="0.3">
      <c r="A10" s="36"/>
      <c r="B10" s="37"/>
      <c r="C10" s="37"/>
      <c r="D10" s="37"/>
      <c r="E10" s="62">
        <f t="shared" si="0"/>
        <v>0</v>
      </c>
      <c r="F10" s="41"/>
      <c r="G10" s="41"/>
      <c r="H10" s="63">
        <f t="shared" si="1"/>
        <v>0</v>
      </c>
      <c r="I10" s="40"/>
      <c r="J10" s="47"/>
      <c r="K10" s="47"/>
    </row>
    <row r="11" spans="1:12" x14ac:dyDescent="0.3">
      <c r="A11" s="36"/>
      <c r="B11" s="37"/>
      <c r="C11" s="37"/>
      <c r="D11" s="37"/>
      <c r="E11" s="62">
        <f t="shared" si="0"/>
        <v>0</v>
      </c>
      <c r="F11" s="41"/>
      <c r="G11" s="41"/>
      <c r="H11" s="63">
        <f t="shared" si="1"/>
        <v>0</v>
      </c>
      <c r="I11" s="40"/>
      <c r="J11" s="47"/>
      <c r="K11" s="47"/>
    </row>
    <row r="12" spans="1:12" x14ac:dyDescent="0.3">
      <c r="A12" s="36"/>
      <c r="B12" s="37"/>
      <c r="C12" s="37"/>
      <c r="D12" s="37"/>
      <c r="E12" s="62">
        <f t="shared" si="0"/>
        <v>0</v>
      </c>
      <c r="F12" s="41"/>
      <c r="G12" s="41"/>
      <c r="H12" s="63">
        <f t="shared" si="1"/>
        <v>0</v>
      </c>
      <c r="I12" s="40"/>
      <c r="J12" s="47"/>
      <c r="K12" s="47"/>
    </row>
    <row r="13" spans="1:12" x14ac:dyDescent="0.3">
      <c r="A13" s="36"/>
      <c r="B13" s="37"/>
      <c r="C13" s="37"/>
      <c r="D13" s="37"/>
      <c r="E13" s="62">
        <f t="shared" si="0"/>
        <v>0</v>
      </c>
      <c r="F13" s="41"/>
      <c r="G13" s="41"/>
      <c r="H13" s="63">
        <f t="shared" si="1"/>
        <v>0</v>
      </c>
      <c r="I13" s="40"/>
      <c r="J13" s="47"/>
      <c r="K13" s="47"/>
      <c r="L13" s="4"/>
    </row>
    <row r="14" spans="1:12" x14ac:dyDescent="0.3">
      <c r="A14" s="36"/>
      <c r="B14" s="37"/>
      <c r="C14" s="37"/>
      <c r="D14" s="37"/>
      <c r="E14" s="62">
        <f t="shared" si="0"/>
        <v>0</v>
      </c>
      <c r="F14" s="41"/>
      <c r="G14" s="41"/>
      <c r="H14" s="63">
        <f t="shared" si="1"/>
        <v>0</v>
      </c>
      <c r="I14" s="40"/>
      <c r="J14" s="47"/>
      <c r="K14" s="47"/>
    </row>
    <row r="15" spans="1:12" x14ac:dyDescent="0.3">
      <c r="A15" s="36"/>
      <c r="B15" s="37"/>
      <c r="C15" s="37"/>
      <c r="D15" s="37"/>
      <c r="E15" s="62">
        <f t="shared" si="0"/>
        <v>0</v>
      </c>
      <c r="F15" s="41"/>
      <c r="G15" s="41"/>
      <c r="H15" s="63">
        <f t="shared" si="1"/>
        <v>0</v>
      </c>
      <c r="I15" s="40"/>
      <c r="J15" s="47"/>
      <c r="K15" s="47"/>
    </row>
    <row r="16" spans="1:12" x14ac:dyDescent="0.3">
      <c r="A16" s="36"/>
      <c r="B16" s="37"/>
      <c r="C16" s="37"/>
      <c r="D16" s="37"/>
      <c r="E16" s="62">
        <f t="shared" si="0"/>
        <v>0</v>
      </c>
      <c r="F16" s="41"/>
      <c r="G16" s="41"/>
      <c r="H16" s="63">
        <f t="shared" si="1"/>
        <v>0</v>
      </c>
      <c r="I16" s="40"/>
      <c r="J16" s="47"/>
      <c r="K16" s="47"/>
    </row>
    <row r="17" spans="1:11" x14ac:dyDescent="0.3">
      <c r="A17" s="36"/>
      <c r="B17" s="37"/>
      <c r="C17" s="37"/>
      <c r="D17" s="37"/>
      <c r="E17" s="62">
        <f t="shared" si="0"/>
        <v>0</v>
      </c>
      <c r="F17" s="41"/>
      <c r="G17" s="41"/>
      <c r="H17" s="63">
        <f t="shared" si="1"/>
        <v>0</v>
      </c>
      <c r="I17" s="40"/>
      <c r="J17" s="47"/>
      <c r="K17" s="47"/>
    </row>
    <row r="18" spans="1:11" x14ac:dyDescent="0.3">
      <c r="A18" s="36"/>
      <c r="B18" s="37"/>
      <c r="C18" s="37"/>
      <c r="D18" s="37"/>
      <c r="E18" s="62">
        <f t="shared" si="0"/>
        <v>0</v>
      </c>
      <c r="F18" s="41"/>
      <c r="G18" s="41"/>
      <c r="H18" s="63">
        <f t="shared" si="1"/>
        <v>0</v>
      </c>
      <c r="I18" s="40"/>
      <c r="J18" s="47"/>
      <c r="K18" s="47"/>
    </row>
    <row r="19" spans="1:11" x14ac:dyDescent="0.3">
      <c r="A19" s="36"/>
      <c r="B19" s="37"/>
      <c r="C19" s="37"/>
      <c r="D19" s="37"/>
      <c r="E19" s="62"/>
      <c r="F19" s="41"/>
      <c r="G19" s="41"/>
      <c r="H19" s="63"/>
      <c r="I19" s="40"/>
      <c r="J19" s="47"/>
      <c r="K19" s="47"/>
    </row>
    <row r="20" spans="1:11" x14ac:dyDescent="0.3">
      <c r="A20" s="36"/>
      <c r="B20" s="37"/>
      <c r="C20" s="37"/>
      <c r="D20" s="37"/>
      <c r="E20" s="62">
        <f t="shared" si="0"/>
        <v>0</v>
      </c>
      <c r="F20" s="41"/>
      <c r="G20" s="41"/>
      <c r="H20" s="63">
        <f t="shared" si="1"/>
        <v>0</v>
      </c>
      <c r="I20" s="40"/>
      <c r="J20" s="47"/>
      <c r="K20" s="47"/>
    </row>
    <row r="21" spans="1:11" x14ac:dyDescent="0.3">
      <c r="A21" s="36"/>
      <c r="B21" s="37"/>
      <c r="C21" s="37"/>
      <c r="D21" s="37"/>
      <c r="E21" s="62">
        <f t="shared" si="0"/>
        <v>0</v>
      </c>
      <c r="F21" s="41"/>
      <c r="G21" s="41"/>
      <c r="H21" s="63">
        <f t="shared" si="1"/>
        <v>0</v>
      </c>
      <c r="I21" s="40"/>
      <c r="J21" s="47"/>
      <c r="K21" s="47"/>
    </row>
    <row r="22" spans="1:11" ht="15" thickBot="1" x14ac:dyDescent="0.35">
      <c r="A22" s="30" t="s">
        <v>282</v>
      </c>
      <c r="B22" s="31">
        <f>+SUM(B4:B21)</f>
        <v>0</v>
      </c>
      <c r="C22" s="31">
        <f>+SUM(C4:C21)</f>
        <v>0</v>
      </c>
      <c r="D22" s="31">
        <f t="shared" ref="D22:I22" si="2">SUM(D4:D21)</f>
        <v>0</v>
      </c>
      <c r="E22" s="31">
        <f t="shared" si="2"/>
        <v>0</v>
      </c>
      <c r="F22" s="31">
        <f t="shared" si="2"/>
        <v>0</v>
      </c>
      <c r="G22" s="31">
        <f t="shared" si="2"/>
        <v>0</v>
      </c>
      <c r="H22" s="31">
        <f t="shared" si="2"/>
        <v>0</v>
      </c>
      <c r="I22" s="31">
        <f t="shared" si="2"/>
        <v>0</v>
      </c>
      <c r="J22" s="31"/>
      <c r="K22" s="32"/>
    </row>
    <row r="23" spans="1:11" ht="15.6" x14ac:dyDescent="0.3">
      <c r="A23" s="144" t="s">
        <v>275</v>
      </c>
      <c r="J23" s="153"/>
    </row>
    <row r="24" spans="1:11" x14ac:dyDescent="0.3">
      <c r="A24" s="141" t="s">
        <v>276</v>
      </c>
      <c r="J24" s="153"/>
    </row>
    <row r="25" spans="1:11" ht="15" thickBot="1" x14ac:dyDescent="0.35">
      <c r="J25" s="153"/>
    </row>
    <row r="26" spans="1:11" x14ac:dyDescent="0.3">
      <c r="A26" s="198" t="s">
        <v>283</v>
      </c>
      <c r="B26" s="199"/>
      <c r="C26" s="199"/>
      <c r="D26" s="199"/>
      <c r="E26" s="199"/>
      <c r="F26" s="200"/>
      <c r="G26" s="199"/>
      <c r="H26" s="199"/>
      <c r="I26" s="199"/>
      <c r="J26" s="201"/>
      <c r="K26" s="202"/>
    </row>
    <row r="27" spans="1:11" x14ac:dyDescent="0.3">
      <c r="A27" s="172" t="s">
        <v>284</v>
      </c>
      <c r="E27" s="4">
        <f>+Compensation!G9</f>
        <v>0</v>
      </c>
      <c r="F27" s="17">
        <f>+Compensation!H9</f>
        <v>0</v>
      </c>
      <c r="G27" s="4">
        <f>+Compensation!I9</f>
        <v>0</v>
      </c>
      <c r="H27" s="4">
        <f>+SUM(E27:G27)</f>
        <v>0</v>
      </c>
      <c r="J27" s="153">
        <v>5</v>
      </c>
      <c r="K27" s="213"/>
    </row>
    <row r="28" spans="1:11" x14ac:dyDescent="0.3">
      <c r="A28" s="172" t="s">
        <v>285</v>
      </c>
      <c r="E28" s="5">
        <f>+Compensation!L5</f>
        <v>0</v>
      </c>
      <c r="F28" s="5">
        <f>+Compensation!M5</f>
        <v>0</v>
      </c>
      <c r="G28" s="5">
        <f>+Compensation!N5</f>
        <v>0</v>
      </c>
      <c r="H28" s="4">
        <f>+SUM(E28:G28)</f>
        <v>0</v>
      </c>
      <c r="J28" s="153">
        <v>7</v>
      </c>
      <c r="K28" s="213"/>
    </row>
    <row r="29" spans="1:11" x14ac:dyDescent="0.3">
      <c r="A29" s="172" t="s">
        <v>286</v>
      </c>
      <c r="E29" s="5">
        <f>+Compensation!L6</f>
        <v>0</v>
      </c>
      <c r="F29" s="5">
        <f>+Compensation!M6</f>
        <v>0</v>
      </c>
      <c r="G29" s="5">
        <f>+Compensation!N6</f>
        <v>0</v>
      </c>
      <c r="H29" s="4">
        <f>+SUM(E29:G29)</f>
        <v>0</v>
      </c>
      <c r="J29" s="153">
        <v>8</v>
      </c>
      <c r="K29" s="213"/>
    </row>
    <row r="30" spans="1:11" x14ac:dyDescent="0.3">
      <c r="A30" s="172" t="s">
        <v>287</v>
      </c>
      <c r="E30" s="5">
        <f>+Compensation!L7</f>
        <v>0</v>
      </c>
      <c r="F30" s="5">
        <f>+Compensation!M7</f>
        <v>0</v>
      </c>
      <c r="G30" s="5">
        <f>+Compensation!N7</f>
        <v>0</v>
      </c>
      <c r="H30" s="4">
        <f>+SUM(E30:G30)</f>
        <v>0</v>
      </c>
      <c r="J30" s="153">
        <v>9</v>
      </c>
      <c r="K30" s="213"/>
    </row>
    <row r="31" spans="1:11" x14ac:dyDescent="0.3">
      <c r="A31" s="207" t="s">
        <v>288</v>
      </c>
      <c r="E31" s="206">
        <f>+Compensation!L8</f>
        <v>0</v>
      </c>
      <c r="F31" s="206">
        <f>+Compensation!M8</f>
        <v>0</v>
      </c>
      <c r="G31" s="206">
        <f>+Compensation!N8</f>
        <v>0</v>
      </c>
      <c r="H31" s="211">
        <f>+SUM(E31:G31)</f>
        <v>0</v>
      </c>
      <c r="I31" s="212"/>
      <c r="J31" s="153">
        <v>10</v>
      </c>
      <c r="K31" s="213"/>
    </row>
    <row r="32" spans="1:11" ht="15" thickBot="1" x14ac:dyDescent="0.35">
      <c r="A32" s="208" t="s">
        <v>141</v>
      </c>
      <c r="B32" s="203"/>
      <c r="C32" s="203"/>
      <c r="D32" s="203"/>
      <c r="E32" s="210">
        <f>SUM(E27:E31)</f>
        <v>0</v>
      </c>
      <c r="F32" s="210">
        <f>SUM(F27:F31)</f>
        <v>0</v>
      </c>
      <c r="G32" s="210">
        <f>SUM(G27:G31)</f>
        <v>0</v>
      </c>
      <c r="H32" s="209">
        <f>SUM(H27:H31)</f>
        <v>0</v>
      </c>
      <c r="I32" s="209">
        <f>SUM(I27:I31)</f>
        <v>0</v>
      </c>
      <c r="J32" s="204"/>
      <c r="K32" s="205"/>
    </row>
    <row r="33" spans="6:10" x14ac:dyDescent="0.3">
      <c r="F33"/>
      <c r="J33" s="153"/>
    </row>
    <row r="34" spans="6:10" x14ac:dyDescent="0.3">
      <c r="F34"/>
      <c r="J34" s="153"/>
    </row>
    <row r="35" spans="6:10" x14ac:dyDescent="0.3">
      <c r="F35"/>
      <c r="J35" s="153"/>
    </row>
    <row r="36" spans="6:10" x14ac:dyDescent="0.3">
      <c r="F36"/>
      <c r="J36" s="153"/>
    </row>
    <row r="37" spans="6:10" x14ac:dyDescent="0.3">
      <c r="F37"/>
      <c r="J37" s="153"/>
    </row>
    <row r="38" spans="6:10" x14ac:dyDescent="0.3">
      <c r="F38"/>
      <c r="J38" s="153"/>
    </row>
    <row r="39" spans="6:10" x14ac:dyDescent="0.3">
      <c r="F39"/>
      <c r="J39" s="153"/>
    </row>
    <row r="40" spans="6:10" x14ac:dyDescent="0.3">
      <c r="F40"/>
      <c r="J40" s="153"/>
    </row>
    <row r="41" spans="6:10" x14ac:dyDescent="0.3">
      <c r="F41"/>
      <c r="J41" s="153"/>
    </row>
    <row r="42" spans="6:10" x14ac:dyDescent="0.3">
      <c r="F42"/>
      <c r="J42" s="153"/>
    </row>
    <row r="43" spans="6:10" x14ac:dyDescent="0.3">
      <c r="F43"/>
      <c r="J43" s="153"/>
    </row>
    <row r="44" spans="6:10" x14ac:dyDescent="0.3">
      <c r="F44"/>
      <c r="J44" s="153"/>
    </row>
    <row r="45" spans="6:10" x14ac:dyDescent="0.3">
      <c r="F45"/>
      <c r="J45" s="153"/>
    </row>
    <row r="46" spans="6:10" x14ac:dyDescent="0.3">
      <c r="F46"/>
      <c r="J46" s="153"/>
    </row>
    <row r="47" spans="6:10" x14ac:dyDescent="0.3">
      <c r="F47"/>
      <c r="J47" s="153"/>
    </row>
    <row r="48" spans="6:10" x14ac:dyDescent="0.3">
      <c r="F48"/>
      <c r="J48" s="153"/>
    </row>
    <row r="49" spans="6:10" x14ac:dyDescent="0.3">
      <c r="F49"/>
      <c r="J49" s="153"/>
    </row>
    <row r="50" spans="6:10" x14ac:dyDescent="0.3">
      <c r="F50"/>
      <c r="J50" s="153"/>
    </row>
    <row r="51" spans="6:10" x14ac:dyDescent="0.3">
      <c r="F51"/>
      <c r="J51" s="153"/>
    </row>
    <row r="52" spans="6:10" x14ac:dyDescent="0.3">
      <c r="F52"/>
      <c r="J52" s="153"/>
    </row>
    <row r="53" spans="6:10" x14ac:dyDescent="0.3">
      <c r="F53"/>
      <c r="J53" s="153"/>
    </row>
    <row r="54" spans="6:10" x14ac:dyDescent="0.3">
      <c r="F54"/>
      <c r="J54" s="153"/>
    </row>
    <row r="55" spans="6:10" x14ac:dyDescent="0.3">
      <c r="F55"/>
      <c r="J55" s="153"/>
    </row>
    <row r="56" spans="6:10" x14ac:dyDescent="0.3">
      <c r="F56"/>
      <c r="J56" s="153"/>
    </row>
    <row r="57" spans="6:10" x14ac:dyDescent="0.3">
      <c r="F57"/>
      <c r="J57" s="153"/>
    </row>
    <row r="58" spans="6:10" x14ac:dyDescent="0.3">
      <c r="F58"/>
      <c r="J58" s="153"/>
    </row>
    <row r="59" spans="6:10" x14ac:dyDescent="0.3">
      <c r="F59"/>
      <c r="J59" s="153"/>
    </row>
    <row r="60" spans="6:10" x14ac:dyDescent="0.3">
      <c r="F60"/>
      <c r="J60" s="153"/>
    </row>
    <row r="61" spans="6:10" x14ac:dyDescent="0.3">
      <c r="F61"/>
      <c r="J61" s="153"/>
    </row>
    <row r="62" spans="6:10" x14ac:dyDescent="0.3">
      <c r="F62"/>
      <c r="J62" s="153"/>
    </row>
    <row r="63" spans="6:10" ht="15" customHeight="1" x14ac:dyDescent="0.3">
      <c r="F63"/>
      <c r="J63" s="153"/>
    </row>
    <row r="64" spans="6:10" ht="15.75" customHeight="1" x14ac:dyDescent="0.3">
      <c r="F64"/>
      <c r="J64" s="153"/>
    </row>
    <row r="65" spans="6:10" x14ac:dyDescent="0.3">
      <c r="F65"/>
      <c r="J65" s="153"/>
    </row>
    <row r="66" spans="6:10" x14ac:dyDescent="0.3">
      <c r="F66"/>
      <c r="J66" s="153"/>
    </row>
    <row r="67" spans="6:10" x14ac:dyDescent="0.3">
      <c r="F67"/>
      <c r="J67" s="153"/>
    </row>
    <row r="68" spans="6:10" x14ac:dyDescent="0.3">
      <c r="F68"/>
      <c r="J68" s="153"/>
    </row>
    <row r="69" spans="6:10" x14ac:dyDescent="0.3">
      <c r="J69" s="153"/>
    </row>
    <row r="70" spans="6:10" x14ac:dyDescent="0.3">
      <c r="J70" s="153"/>
    </row>
    <row r="71" spans="6:10" x14ac:dyDescent="0.3">
      <c r="J71" s="153"/>
    </row>
    <row r="72" spans="6:10" x14ac:dyDescent="0.3">
      <c r="J72" s="153"/>
    </row>
    <row r="73" spans="6:10" x14ac:dyDescent="0.3">
      <c r="J73" s="153"/>
    </row>
    <row r="74" spans="6:10" x14ac:dyDescent="0.3">
      <c r="J74" s="153"/>
    </row>
    <row r="75" spans="6:10" x14ac:dyDescent="0.3">
      <c r="J75" s="153"/>
    </row>
    <row r="76" spans="6:10" x14ac:dyDescent="0.3">
      <c r="J76" s="153"/>
    </row>
    <row r="77" spans="6:10" x14ac:dyDescent="0.3">
      <c r="J77" s="153"/>
    </row>
    <row r="78" spans="6:10" x14ac:dyDescent="0.3">
      <c r="J78" s="153"/>
    </row>
    <row r="79" spans="6:10" x14ac:dyDescent="0.3">
      <c r="J79" s="153"/>
    </row>
    <row r="80" spans="6:10" x14ac:dyDescent="0.3">
      <c r="J80" s="153"/>
    </row>
    <row r="81" spans="10:10" x14ac:dyDescent="0.3">
      <c r="J81" s="153"/>
    </row>
    <row r="82" spans="10:10" x14ac:dyDescent="0.3">
      <c r="J82" s="153"/>
    </row>
    <row r="83" spans="10:10" x14ac:dyDescent="0.3">
      <c r="J83" s="153"/>
    </row>
    <row r="84" spans="10:10" x14ac:dyDescent="0.3">
      <c r="J84" s="153"/>
    </row>
    <row r="85" spans="10:10" x14ac:dyDescent="0.3">
      <c r="J85" s="153"/>
    </row>
    <row r="86" spans="10:10" x14ac:dyDescent="0.3">
      <c r="J86" s="153"/>
    </row>
    <row r="87" spans="10:10" x14ac:dyDescent="0.3">
      <c r="J87" s="153"/>
    </row>
    <row r="88" spans="10:10" x14ac:dyDescent="0.3">
      <c r="J88" s="153"/>
    </row>
    <row r="89" spans="10:10" x14ac:dyDescent="0.3">
      <c r="J89" s="153"/>
    </row>
    <row r="90" spans="10:10" x14ac:dyDescent="0.3">
      <c r="J90" s="153"/>
    </row>
    <row r="91" spans="10:10" x14ac:dyDescent="0.3">
      <c r="J91" s="153"/>
    </row>
    <row r="92" spans="10:10" x14ac:dyDescent="0.3">
      <c r="J92" s="153"/>
    </row>
    <row r="93" spans="10:10" x14ac:dyDescent="0.3">
      <c r="J93" s="153"/>
    </row>
    <row r="94" spans="10:10" x14ac:dyDescent="0.3">
      <c r="J94" s="153"/>
    </row>
    <row r="95" spans="10:10" x14ac:dyDescent="0.3">
      <c r="J95" s="153"/>
    </row>
    <row r="96" spans="10:10" x14ac:dyDescent="0.3">
      <c r="J96" s="153"/>
    </row>
    <row r="97" spans="10:10" x14ac:dyDescent="0.3">
      <c r="J97" s="153"/>
    </row>
    <row r="98" spans="10:10" x14ac:dyDescent="0.3">
      <c r="J98" s="153"/>
    </row>
    <row r="99" spans="10:10" x14ac:dyDescent="0.3">
      <c r="J99" s="153"/>
    </row>
    <row r="100" spans="10:10" x14ac:dyDescent="0.3">
      <c r="J100" s="153"/>
    </row>
    <row r="101" spans="10:10" x14ac:dyDescent="0.3">
      <c r="J101" s="153"/>
    </row>
    <row r="102" spans="10:10" x14ac:dyDescent="0.3">
      <c r="J102" s="153"/>
    </row>
  </sheetData>
  <mergeCells count="2">
    <mergeCell ref="B2:E2"/>
    <mergeCell ref="F2:G2"/>
  </mergeCells>
  <dataValidations count="3">
    <dataValidation type="list" allowBlank="1" showInputMessage="1" showErrorMessage="1" prompt="Line No (Select from Drag Gown)" sqref="J103:J116" xr:uid="{00000000-0002-0000-0400-000000000000}">
      <formula1>"1, 2, 3, 4, 5, 6, 7, 8, 9, 10, 11a, 11b, 11d, 11e, 11f, 11g, 12, 13, 14, 15, 16, 17, 18, 19, 20, 21, 22, 23, 24, 24a, 24b, 24c, 24d, 24e"</formula1>
    </dataValidation>
    <dataValidation type="list" allowBlank="1" showInputMessage="1" showErrorMessage="1" prompt="Line No (Select from Drag Gown)" sqref="J22" xr:uid="{00000000-0002-0000-0400-000001000000}">
      <formula1>"1, 2, 3, 4, 5, 6, 7, 8, 9, 10, 11a, 11b, 11c, 11d, 11e, 11f, 11g, 12, 13, 14, 15, 16, 17, 18, 19, 20, 21, 22, 23, 24, 24a, 24b, 24c, 24d, 24e"</formula1>
    </dataValidation>
    <dataValidation type="list" allowBlank="1" showInputMessage="1" showErrorMessage="1" prompt="Line No (Select from Drag Gown)" sqref="J4:K21 J23:J102 K27:K31" xr:uid="{00000000-0002-0000-0400-000002000000}">
      <formula1>"1, 2, 3, 4, 5, 6, 7, 8, 9, 10, 11a, 11b, 11c, 11d, 11e, 11f, 11g, 12, 13, 14, 15, 16, 17, 18, 19, 20, 21, 22, 23, 24, 24a, 24b, 24c, 24d, 24e, Refer to below Working, Adj-DS, Adj-PY, Adj-Other Loss, Adj-Other, Adj-IE"</formula1>
    </dataValidation>
  </dataValidations>
  <pageMargins left="0.7" right="0.7" top="0.75" bottom="0.75" header="0.3" footer="0.3"/>
  <pageSetup orientation="portrait" r:id="rId1"/>
  <customProperties>
    <customPr name="OrphanNamesChecked" r:id="rId2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4"/>
  <sheetViews>
    <sheetView workbookViewId="0">
      <pane xSplit="1" topLeftCell="F1" activePane="topRight" state="frozen"/>
      <selection pane="topRight" activeCell="F30" sqref="F30"/>
    </sheetView>
  </sheetViews>
  <sheetFormatPr defaultRowHeight="14.4" x14ac:dyDescent="0.3"/>
  <cols>
    <col min="1" max="1" width="17.33203125" customWidth="1"/>
    <col min="2" max="2" width="19.109375" bestFit="1" customWidth="1"/>
    <col min="3" max="3" width="22.88671875" bestFit="1" customWidth="1"/>
    <col min="4" max="5" width="13.88671875" bestFit="1" customWidth="1"/>
    <col min="6" max="6" width="4.33203125" customWidth="1"/>
    <col min="7" max="7" width="12.88671875" bestFit="1" customWidth="1"/>
    <col min="8" max="8" width="22.88671875" bestFit="1" customWidth="1"/>
    <col min="9" max="9" width="13.6640625" customWidth="1"/>
    <col min="10" max="10" width="12.88671875" bestFit="1" customWidth="1"/>
    <col min="11" max="11" width="4.44140625" customWidth="1"/>
    <col min="12" max="12" width="13.5546875" bestFit="1" customWidth="1"/>
    <col min="13" max="13" width="22.88671875" bestFit="1" customWidth="1"/>
    <col min="14" max="14" width="11.33203125" bestFit="1" customWidth="1"/>
    <col min="15" max="15" width="13.5546875" bestFit="1" customWidth="1"/>
  </cols>
  <sheetData>
    <row r="1" spans="1:15" x14ac:dyDescent="0.3">
      <c r="A1" s="294" t="s">
        <v>289</v>
      </c>
      <c r="B1" s="294"/>
      <c r="C1" s="294"/>
      <c r="D1" s="294"/>
      <c r="E1" s="294"/>
    </row>
    <row r="2" spans="1:15" x14ac:dyDescent="0.3">
      <c r="A2" s="1"/>
    </row>
    <row r="3" spans="1:15" x14ac:dyDescent="0.3">
      <c r="A3" s="293" t="s">
        <v>290</v>
      </c>
      <c r="B3" s="293"/>
      <c r="C3" s="293"/>
      <c r="D3" s="293"/>
      <c r="E3" s="293"/>
      <c r="G3" s="293" t="s">
        <v>291</v>
      </c>
      <c r="H3" s="293"/>
      <c r="I3" s="293"/>
      <c r="J3" s="293"/>
      <c r="L3" s="293" t="s">
        <v>292</v>
      </c>
      <c r="M3" s="293"/>
      <c r="N3" s="293"/>
      <c r="O3" s="293"/>
    </row>
    <row r="4" spans="1:15" x14ac:dyDescent="0.3">
      <c r="A4" s="152"/>
      <c r="B4" s="152" t="s">
        <v>293</v>
      </c>
      <c r="C4" s="152" t="s">
        <v>294</v>
      </c>
      <c r="D4" s="152" t="s">
        <v>144</v>
      </c>
      <c r="E4" s="152" t="s">
        <v>141</v>
      </c>
      <c r="G4" s="152" t="s">
        <v>293</v>
      </c>
      <c r="H4" s="152" t="s">
        <v>294</v>
      </c>
      <c r="I4" s="152" t="s">
        <v>144</v>
      </c>
      <c r="J4" s="152" t="s">
        <v>141</v>
      </c>
      <c r="L4" s="152" t="s">
        <v>293</v>
      </c>
      <c r="M4" s="152" t="s">
        <v>294</v>
      </c>
      <c r="N4" s="152" t="s">
        <v>144</v>
      </c>
      <c r="O4" s="152" t="s">
        <v>141</v>
      </c>
    </row>
    <row r="5" spans="1:15" x14ac:dyDescent="0.3">
      <c r="A5" s="64" t="s">
        <v>295</v>
      </c>
      <c r="B5" s="15">
        <v>0</v>
      </c>
      <c r="C5" s="15"/>
      <c r="D5" s="15"/>
      <c r="E5" s="15">
        <f>SOFE!H68</f>
        <v>0</v>
      </c>
      <c r="G5" s="15"/>
      <c r="H5" s="15"/>
      <c r="I5" s="15"/>
      <c r="J5" s="15"/>
      <c r="L5" s="13">
        <f>+B5-G5</f>
        <v>0</v>
      </c>
      <c r="M5" s="13">
        <f t="shared" ref="M5:N5" si="0">+C5-H5</f>
        <v>0</v>
      </c>
      <c r="N5" s="13">
        <f t="shared" si="0"/>
        <v>0</v>
      </c>
      <c r="O5" s="13">
        <f>+SUM(L5:N5)</f>
        <v>0</v>
      </c>
    </row>
    <row r="6" spans="1:15" x14ac:dyDescent="0.3">
      <c r="A6" s="12" t="s">
        <v>296</v>
      </c>
      <c r="B6" s="13">
        <v>0</v>
      </c>
      <c r="C6" s="13"/>
      <c r="D6" s="14"/>
      <c r="E6" s="15"/>
      <c r="G6" s="16"/>
      <c r="H6" s="15"/>
      <c r="I6" s="15"/>
      <c r="J6" s="13"/>
      <c r="L6" s="13">
        <f t="shared" ref="L6:L8" si="1">+B6-G6</f>
        <v>0</v>
      </c>
      <c r="M6" s="13">
        <f t="shared" ref="M6:M8" si="2">+C6-H6</f>
        <v>0</v>
      </c>
      <c r="N6" s="13">
        <f t="shared" ref="N6:N8" si="3">+D6-I6</f>
        <v>0</v>
      </c>
      <c r="O6" s="13">
        <f t="shared" ref="O6:O8" si="4">+SUM(L6:N6)</f>
        <v>0</v>
      </c>
    </row>
    <row r="7" spans="1:15" x14ac:dyDescent="0.3">
      <c r="A7" s="12" t="s">
        <v>287</v>
      </c>
      <c r="B7" s="13"/>
      <c r="C7" s="13"/>
      <c r="D7" s="14"/>
      <c r="E7" s="15"/>
      <c r="G7" s="16"/>
      <c r="H7" s="15"/>
      <c r="I7" s="15"/>
      <c r="J7" s="13"/>
      <c r="L7" s="13">
        <f t="shared" si="1"/>
        <v>0</v>
      </c>
      <c r="M7" s="13">
        <f t="shared" si="2"/>
        <v>0</v>
      </c>
      <c r="N7" s="13">
        <f t="shared" si="3"/>
        <v>0</v>
      </c>
      <c r="O7" s="13">
        <f t="shared" si="4"/>
        <v>0</v>
      </c>
    </row>
    <row r="8" spans="1:15" x14ac:dyDescent="0.3">
      <c r="A8" s="12" t="s">
        <v>288</v>
      </c>
      <c r="B8" s="13"/>
      <c r="C8" s="13"/>
      <c r="D8" s="14"/>
      <c r="E8" s="15"/>
      <c r="G8" s="16"/>
      <c r="H8" s="15"/>
      <c r="I8" s="15"/>
      <c r="J8" s="13"/>
      <c r="L8" s="13">
        <f t="shared" si="1"/>
        <v>0</v>
      </c>
      <c r="M8" s="13">
        <f t="shared" si="2"/>
        <v>0</v>
      </c>
      <c r="N8" s="13">
        <f t="shared" si="3"/>
        <v>0</v>
      </c>
      <c r="O8" s="13">
        <f t="shared" si="4"/>
        <v>0</v>
      </c>
    </row>
    <row r="9" spans="1:15" x14ac:dyDescent="0.3">
      <c r="A9" s="12" t="s">
        <v>141</v>
      </c>
      <c r="B9" s="13">
        <f>+SUM(B5:B8)</f>
        <v>0</v>
      </c>
      <c r="C9" s="13">
        <f t="shared" ref="C9:E9" si="5">+SUM(C5:C8)</f>
        <v>0</v>
      </c>
      <c r="D9" s="13">
        <f t="shared" si="5"/>
        <v>0</v>
      </c>
      <c r="E9" s="13">
        <f t="shared" si="5"/>
        <v>0</v>
      </c>
      <c r="G9" s="16">
        <f>+SUM(G5:G8)</f>
        <v>0</v>
      </c>
      <c r="H9" s="16">
        <f t="shared" ref="H9" si="6">+SUM(H5:H8)</f>
        <v>0</v>
      </c>
      <c r="I9" s="16">
        <f>+SUM(I5:I8)</f>
        <v>0</v>
      </c>
      <c r="J9" s="16">
        <f>+SUM(J5:J8)</f>
        <v>0</v>
      </c>
      <c r="L9" s="16">
        <f>+SUM(L5:L8)</f>
        <v>0</v>
      </c>
      <c r="M9" s="16">
        <f t="shared" ref="M9" si="7">+SUM(M5:M8)</f>
        <v>0</v>
      </c>
      <c r="N9" s="16">
        <f t="shared" ref="N9" si="8">+SUM(N5:N8)</f>
        <v>0</v>
      </c>
      <c r="O9" s="16">
        <f t="shared" ref="O9" si="9">+SUM(O5:O8)</f>
        <v>0</v>
      </c>
    </row>
    <row r="10" spans="1:15" x14ac:dyDescent="0.3">
      <c r="B10" s="17"/>
      <c r="C10" s="17"/>
      <c r="D10" s="17"/>
      <c r="E10" s="17"/>
      <c r="G10" s="4"/>
      <c r="H10" s="4"/>
      <c r="I10" s="4"/>
      <c r="J10" s="18"/>
      <c r="L10" s="7"/>
      <c r="M10" s="7"/>
      <c r="N10" s="7"/>
      <c r="O10" s="19"/>
    </row>
    <row r="12" spans="1:15" x14ac:dyDescent="0.3">
      <c r="A12" t="s">
        <v>297</v>
      </c>
    </row>
    <row r="13" spans="1:15" x14ac:dyDescent="0.3">
      <c r="A13" s="12" t="s">
        <v>298</v>
      </c>
      <c r="B13" s="11" t="s">
        <v>299</v>
      </c>
      <c r="C13" s="11" t="s">
        <v>300</v>
      </c>
      <c r="D13" s="11" t="s">
        <v>296</v>
      </c>
      <c r="E13" s="11" t="s">
        <v>141</v>
      </c>
    </row>
    <row r="14" spans="1:15" x14ac:dyDescent="0.3">
      <c r="A14" s="2"/>
      <c r="B14" s="16"/>
      <c r="C14" s="16"/>
      <c r="D14" s="16"/>
      <c r="E14" s="16"/>
    </row>
  </sheetData>
  <mergeCells count="4">
    <mergeCell ref="A3:E3"/>
    <mergeCell ref="G3:J3"/>
    <mergeCell ref="L3:O3"/>
    <mergeCell ref="A1:E1"/>
  </mergeCells>
  <pageMargins left="0.7" right="0.7" top="0.75" bottom="0.75" header="0.3" footer="0.3"/>
  <pageSetup orientation="portrait" r:id="rId1"/>
  <customProperties>
    <customPr name="OrphanNamesChecke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1"/>
  <sheetViews>
    <sheetView workbookViewId="0"/>
  </sheetViews>
  <sheetFormatPr defaultColWidth="9.109375" defaultRowHeight="14.4" x14ac:dyDescent="0.3"/>
  <cols>
    <col min="1" max="3" width="9.109375" style="9"/>
    <col min="4" max="4" width="9.109375" style="10"/>
    <col min="5" max="16384" width="9.109375" style="9"/>
  </cols>
  <sheetData>
    <row r="1" spans="1:1" x14ac:dyDescent="0.3">
      <c r="A1" s="141" t="s">
        <v>276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/>
  <dimension ref="B1:G101"/>
  <sheetViews>
    <sheetView workbookViewId="0">
      <selection activeCell="C8" sqref="C8"/>
    </sheetView>
  </sheetViews>
  <sheetFormatPr defaultRowHeight="14.4" x14ac:dyDescent="0.3"/>
  <cols>
    <col min="1" max="1" width="3.88671875" customWidth="1"/>
    <col min="2" max="2" width="37.88671875" style="28" customWidth="1"/>
    <col min="3" max="3" width="17.6640625" style="87" customWidth="1"/>
    <col min="4" max="4" width="21" style="3" customWidth="1"/>
    <col min="5" max="5" width="22.33203125" style="148" bestFit="1" customWidth="1"/>
    <col min="6" max="6" width="22.33203125" style="149" bestFit="1" customWidth="1"/>
    <col min="7" max="7" width="18.5546875" customWidth="1"/>
  </cols>
  <sheetData>
    <row r="1" spans="2:7" ht="15" thickBot="1" x14ac:dyDescent="0.35">
      <c r="B1" s="26"/>
      <c r="C1" s="123"/>
      <c r="D1" s="124"/>
    </row>
    <row r="2" spans="2:7" s="8" customFormat="1" ht="14.25" customHeight="1" x14ac:dyDescent="0.3">
      <c r="B2" s="296" t="s">
        <v>301</v>
      </c>
      <c r="C2" s="297"/>
      <c r="D2" s="298"/>
      <c r="E2" s="146"/>
      <c r="F2" s="146"/>
    </row>
    <row r="3" spans="2:7" s="8" customFormat="1" x14ac:dyDescent="0.3">
      <c r="B3" s="109" t="s">
        <v>59</v>
      </c>
      <c r="C3" s="110">
        <v>2023</v>
      </c>
      <c r="D3" s="111">
        <v>2024</v>
      </c>
      <c r="E3" s="147" t="s">
        <v>302</v>
      </c>
      <c r="F3" s="147" t="s">
        <v>303</v>
      </c>
      <c r="G3" s="88"/>
    </row>
    <row r="4" spans="2:7" x14ac:dyDescent="0.3">
      <c r="B4" s="25" t="s">
        <v>185</v>
      </c>
      <c r="C4" s="94"/>
      <c r="D4" s="95"/>
      <c r="E4" s="150"/>
      <c r="F4" s="151"/>
    </row>
    <row r="5" spans="2:7" x14ac:dyDescent="0.3">
      <c r="B5" s="25" t="s">
        <v>304</v>
      </c>
      <c r="C5" s="94"/>
      <c r="D5" s="95"/>
      <c r="E5" s="150"/>
      <c r="F5" s="151"/>
    </row>
    <row r="6" spans="2:7" x14ac:dyDescent="0.3">
      <c r="B6" s="35" t="s">
        <v>305</v>
      </c>
      <c r="C6" s="27"/>
      <c r="D6" s="95"/>
      <c r="E6" s="151"/>
      <c r="F6" s="151"/>
    </row>
    <row r="7" spans="2:7" x14ac:dyDescent="0.3">
      <c r="B7" s="35" t="s">
        <v>306</v>
      </c>
      <c r="C7" s="27"/>
      <c r="D7" s="95"/>
      <c r="E7" s="151"/>
      <c r="F7" s="151"/>
    </row>
    <row r="8" spans="2:7" x14ac:dyDescent="0.3">
      <c r="B8" s="35" t="s">
        <v>307</v>
      </c>
      <c r="C8" s="27"/>
      <c r="D8" s="95"/>
      <c r="E8" s="151"/>
      <c r="F8" s="151"/>
    </row>
    <row r="9" spans="2:7" x14ac:dyDescent="0.3">
      <c r="B9" s="35" t="s">
        <v>308</v>
      </c>
      <c r="C9" s="27"/>
      <c r="D9" s="95"/>
      <c r="E9" s="151"/>
      <c r="F9" s="151"/>
    </row>
    <row r="10" spans="2:7" x14ac:dyDescent="0.3">
      <c r="B10" s="35" t="s">
        <v>309</v>
      </c>
      <c r="C10" s="27"/>
      <c r="D10" s="95"/>
      <c r="E10" s="151"/>
      <c r="F10" s="151"/>
    </row>
    <row r="11" spans="2:7" x14ac:dyDescent="0.3">
      <c r="B11" s="35" t="s">
        <v>310</v>
      </c>
      <c r="C11" s="27"/>
      <c r="D11" s="95"/>
      <c r="E11" s="151"/>
      <c r="F11" s="151"/>
    </row>
    <row r="12" spans="2:7" x14ac:dyDescent="0.3">
      <c r="B12" s="25" t="s">
        <v>311</v>
      </c>
      <c r="C12" s="94">
        <f>+SUM(C6:C11)</f>
        <v>0</v>
      </c>
      <c r="D12" s="96">
        <f>SUM(D6:D11)</f>
        <v>0</v>
      </c>
      <c r="E12" s="151"/>
      <c r="F12" s="151"/>
    </row>
    <row r="13" spans="2:7" x14ac:dyDescent="0.3">
      <c r="B13" s="25"/>
      <c r="C13" s="94"/>
      <c r="D13" s="95"/>
      <c r="E13" s="151"/>
      <c r="F13" s="151"/>
    </row>
    <row r="14" spans="2:7" x14ac:dyDescent="0.3">
      <c r="B14" s="25" t="s">
        <v>312</v>
      </c>
      <c r="C14" s="94"/>
      <c r="D14" s="95"/>
      <c r="E14" s="151"/>
      <c r="F14" s="151"/>
    </row>
    <row r="15" spans="2:7" x14ac:dyDescent="0.3">
      <c r="B15" s="35" t="s">
        <v>313</v>
      </c>
      <c r="C15" s="27">
        <f>+C41</f>
        <v>0</v>
      </c>
      <c r="D15" s="95">
        <f>+D41</f>
        <v>0</v>
      </c>
      <c r="E15" s="164" t="s">
        <v>314</v>
      </c>
      <c r="F15" s="164" t="s">
        <v>314</v>
      </c>
    </row>
    <row r="16" spans="2:7" x14ac:dyDescent="0.3">
      <c r="B16" s="25"/>
      <c r="C16" s="94"/>
      <c r="D16" s="95"/>
      <c r="E16" s="151"/>
      <c r="F16" s="151"/>
    </row>
    <row r="17" spans="2:6" x14ac:dyDescent="0.3">
      <c r="B17" s="25" t="s">
        <v>315</v>
      </c>
      <c r="C17" s="94">
        <f>SUM(C15)</f>
        <v>0</v>
      </c>
      <c r="D17" s="96">
        <f>SUM(D15)</f>
        <v>0</v>
      </c>
      <c r="E17" s="151"/>
      <c r="F17" s="151"/>
    </row>
    <row r="18" spans="2:6" x14ac:dyDescent="0.3">
      <c r="B18" s="25"/>
      <c r="C18" s="94"/>
      <c r="D18" s="95"/>
      <c r="E18" s="151"/>
      <c r="F18" s="151"/>
    </row>
    <row r="19" spans="2:6" ht="15" thickBot="1" x14ac:dyDescent="0.35">
      <c r="B19" s="29" t="s">
        <v>203</v>
      </c>
      <c r="C19" s="97">
        <f>+C17+C12</f>
        <v>0</v>
      </c>
      <c r="D19" s="98">
        <f>D12+D17</f>
        <v>0</v>
      </c>
      <c r="E19" s="151"/>
      <c r="F19" s="151"/>
    </row>
    <row r="20" spans="2:6" ht="15" thickBot="1" x14ac:dyDescent="0.35">
      <c r="B20" s="26"/>
      <c r="D20" s="6"/>
      <c r="E20" s="151"/>
      <c r="F20" s="151"/>
    </row>
    <row r="21" spans="2:6" x14ac:dyDescent="0.3">
      <c r="B21" s="299" t="s">
        <v>316</v>
      </c>
      <c r="C21" s="300"/>
      <c r="D21" s="301"/>
      <c r="E21" s="151"/>
      <c r="F21" s="151"/>
    </row>
    <row r="22" spans="2:6" x14ac:dyDescent="0.3">
      <c r="B22" s="25" t="s">
        <v>317</v>
      </c>
      <c r="C22" s="94"/>
      <c r="D22" s="95"/>
      <c r="E22" s="151"/>
      <c r="F22" s="151"/>
    </row>
    <row r="23" spans="2:6" x14ac:dyDescent="0.3">
      <c r="B23" s="25" t="s">
        <v>318</v>
      </c>
      <c r="C23" s="94"/>
      <c r="D23" s="95"/>
      <c r="E23" s="151"/>
      <c r="F23" s="151"/>
    </row>
    <row r="24" spans="2:6" x14ac:dyDescent="0.3">
      <c r="B24" s="35" t="s">
        <v>205</v>
      </c>
      <c r="C24" s="27"/>
      <c r="D24" s="95"/>
      <c r="E24" s="151"/>
      <c r="F24" s="151"/>
    </row>
    <row r="25" spans="2:6" x14ac:dyDescent="0.3">
      <c r="B25" s="35" t="s">
        <v>319</v>
      </c>
      <c r="C25" s="27"/>
      <c r="D25" s="95"/>
      <c r="E25" s="151"/>
      <c r="F25" s="151"/>
    </row>
    <row r="26" spans="2:6" x14ac:dyDescent="0.3">
      <c r="B26" s="35" t="s">
        <v>320</v>
      </c>
      <c r="C26" s="27"/>
      <c r="D26" s="95"/>
      <c r="E26" s="151"/>
      <c r="F26" s="151"/>
    </row>
    <row r="27" spans="2:6" x14ac:dyDescent="0.3">
      <c r="B27" s="25" t="s">
        <v>321</v>
      </c>
      <c r="C27" s="94">
        <f>+SUM(C24:C26)</f>
        <v>0</v>
      </c>
      <c r="D27" s="96">
        <f>+SUM(D24:D26)</f>
        <v>0</v>
      </c>
      <c r="E27" s="151"/>
      <c r="F27" s="151"/>
    </row>
    <row r="28" spans="2:6" ht="15" thickBot="1" x14ac:dyDescent="0.35">
      <c r="B28" s="29" t="s">
        <v>214</v>
      </c>
      <c r="C28" s="97">
        <f>SUM(C27)</f>
        <v>0</v>
      </c>
      <c r="D28" s="98">
        <f>SUM(D27)</f>
        <v>0</v>
      </c>
      <c r="E28" s="151"/>
      <c r="F28" s="151"/>
    </row>
    <row r="29" spans="2:6" ht="15" thickBot="1" x14ac:dyDescent="0.35">
      <c r="B29" s="26"/>
      <c r="D29" s="91"/>
      <c r="E29" s="151"/>
      <c r="F29" s="151"/>
    </row>
    <row r="30" spans="2:6" x14ac:dyDescent="0.3">
      <c r="B30" s="299" t="s">
        <v>322</v>
      </c>
      <c r="C30" s="300"/>
      <c r="D30" s="301"/>
      <c r="E30" s="151"/>
      <c r="F30" s="151"/>
    </row>
    <row r="31" spans="2:6" x14ac:dyDescent="0.3">
      <c r="B31" s="25" t="s">
        <v>323</v>
      </c>
      <c r="C31" s="27"/>
      <c r="D31" s="95"/>
      <c r="E31" s="151"/>
      <c r="F31" s="151"/>
    </row>
    <row r="32" spans="2:6" x14ac:dyDescent="0.3">
      <c r="B32" s="25" t="s">
        <v>324</v>
      </c>
      <c r="C32" s="27"/>
      <c r="D32" s="95"/>
      <c r="E32" s="151"/>
      <c r="F32" s="151"/>
    </row>
    <row r="33" spans="2:6" x14ac:dyDescent="0.3">
      <c r="B33" s="25" t="s">
        <v>325</v>
      </c>
      <c r="C33" s="94">
        <f>+C31+C32</f>
        <v>0</v>
      </c>
      <c r="D33" s="96">
        <f>+D31+D32</f>
        <v>0</v>
      </c>
      <c r="E33" s="151"/>
      <c r="F33" s="151"/>
    </row>
    <row r="34" spans="2:6" ht="15" thickBot="1" x14ac:dyDescent="0.35">
      <c r="B34" s="29" t="s">
        <v>326</v>
      </c>
      <c r="C34" s="97">
        <f>C28+C33</f>
        <v>0</v>
      </c>
      <c r="D34" s="98">
        <f>D28+D33</f>
        <v>0</v>
      </c>
      <c r="E34" s="151"/>
      <c r="F34" s="151"/>
    </row>
    <row r="35" spans="2:6" x14ac:dyDescent="0.3">
      <c r="B35" s="142" t="s">
        <v>275</v>
      </c>
      <c r="D35" s="91"/>
      <c r="E35" s="151"/>
      <c r="F35" s="151"/>
    </row>
    <row r="36" spans="2:6" x14ac:dyDescent="0.3">
      <c r="B36" s="142" t="s">
        <v>276</v>
      </c>
      <c r="D36" s="91"/>
      <c r="E36" s="151"/>
      <c r="F36" s="151"/>
    </row>
    <row r="37" spans="2:6" ht="15" thickBot="1" x14ac:dyDescent="0.35">
      <c r="B37" s="295"/>
      <c r="C37" s="295"/>
      <c r="D37" s="295"/>
      <c r="E37" s="151"/>
      <c r="F37" s="151"/>
    </row>
    <row r="38" spans="2:6" x14ac:dyDescent="0.3">
      <c r="B38" s="100" t="s">
        <v>327</v>
      </c>
      <c r="C38" s="101"/>
      <c r="D38" s="102"/>
      <c r="E38" s="151"/>
      <c r="F38" s="151"/>
    </row>
    <row r="39" spans="2:6" x14ac:dyDescent="0.3">
      <c r="B39" s="103" t="s">
        <v>328</v>
      </c>
      <c r="C39" s="104"/>
      <c r="D39" s="105"/>
      <c r="E39" s="151" t="s">
        <v>126</v>
      </c>
      <c r="F39" s="151" t="s">
        <v>126</v>
      </c>
    </row>
    <row r="40" spans="2:6" x14ac:dyDescent="0.3">
      <c r="B40" s="103" t="s">
        <v>329</v>
      </c>
      <c r="C40" s="104"/>
      <c r="D40" s="105"/>
      <c r="E40" s="151" t="s">
        <v>128</v>
      </c>
      <c r="F40" s="151" t="s">
        <v>128</v>
      </c>
    </row>
    <row r="41" spans="2:6" ht="15" thickBot="1" x14ac:dyDescent="0.35">
      <c r="B41" s="108" t="s">
        <v>330</v>
      </c>
      <c r="C41" s="107">
        <f>+C39-C40</f>
        <v>0</v>
      </c>
      <c r="D41" s="106">
        <f>+D39-D40</f>
        <v>0</v>
      </c>
      <c r="E41" s="151"/>
      <c r="F41" s="151"/>
    </row>
    <row r="42" spans="2:6" x14ac:dyDescent="0.3">
      <c r="B42" s="33"/>
      <c r="C42" s="90"/>
      <c r="D42" s="92"/>
      <c r="E42" s="151"/>
      <c r="F42" s="151"/>
    </row>
    <row r="43" spans="2:6" x14ac:dyDescent="0.3">
      <c r="B43" s="33"/>
      <c r="C43" s="90"/>
      <c r="D43" s="92"/>
      <c r="E43" s="151"/>
      <c r="F43" s="151"/>
    </row>
    <row r="44" spans="2:6" x14ac:dyDescent="0.3">
      <c r="B44" s="33"/>
      <c r="C44" s="90"/>
      <c r="D44" s="92"/>
      <c r="E44" s="151"/>
      <c r="F44" s="151"/>
    </row>
    <row r="45" spans="2:6" x14ac:dyDescent="0.3">
      <c r="B45" s="33"/>
      <c r="C45" s="90"/>
      <c r="D45" s="92"/>
      <c r="E45" s="151"/>
      <c r="F45" s="151"/>
    </row>
    <row r="46" spans="2:6" x14ac:dyDescent="0.3">
      <c r="B46" s="33"/>
      <c r="C46" s="90"/>
      <c r="D46" s="92"/>
      <c r="E46" s="151"/>
      <c r="F46" s="151"/>
    </row>
    <row r="47" spans="2:6" x14ac:dyDescent="0.3">
      <c r="B47" s="34"/>
      <c r="C47" s="99"/>
      <c r="D47" s="93"/>
      <c r="E47" s="151"/>
      <c r="F47" s="151"/>
    </row>
    <row r="48" spans="2:6" x14ac:dyDescent="0.3">
      <c r="B48" s="26"/>
      <c r="D48" s="91"/>
      <c r="E48" s="151"/>
      <c r="F48" s="151"/>
    </row>
    <row r="49" spans="2:6" x14ac:dyDescent="0.3">
      <c r="B49" s="26"/>
      <c r="D49" s="91"/>
      <c r="E49" s="151"/>
      <c r="F49" s="151"/>
    </row>
    <row r="50" spans="2:6" x14ac:dyDescent="0.3">
      <c r="B50" s="26"/>
      <c r="D50" s="91"/>
      <c r="E50" s="151"/>
      <c r="F50" s="151"/>
    </row>
    <row r="51" spans="2:6" x14ac:dyDescent="0.3">
      <c r="B51" s="26"/>
      <c r="D51" s="91"/>
      <c r="E51" s="151"/>
      <c r="F51" s="151"/>
    </row>
    <row r="52" spans="2:6" x14ac:dyDescent="0.3">
      <c r="B52" s="26"/>
      <c r="D52" s="91"/>
      <c r="E52" s="151"/>
      <c r="F52" s="151"/>
    </row>
    <row r="53" spans="2:6" x14ac:dyDescent="0.3">
      <c r="B53" s="26"/>
      <c r="D53" s="91"/>
      <c r="E53" s="151"/>
      <c r="F53" s="151"/>
    </row>
    <row r="54" spans="2:6" x14ac:dyDescent="0.3">
      <c r="B54" s="26"/>
      <c r="D54" s="91"/>
      <c r="E54" s="151"/>
      <c r="F54" s="151"/>
    </row>
    <row r="55" spans="2:6" x14ac:dyDescent="0.3">
      <c r="B55" s="26"/>
      <c r="D55" s="91"/>
      <c r="E55" s="151"/>
      <c r="F55" s="151"/>
    </row>
    <row r="56" spans="2:6" x14ac:dyDescent="0.3">
      <c r="B56" s="26"/>
      <c r="D56" s="91"/>
      <c r="E56" s="151"/>
      <c r="F56" s="151"/>
    </row>
    <row r="57" spans="2:6" x14ac:dyDescent="0.3">
      <c r="B57" s="26"/>
      <c r="D57" s="91"/>
      <c r="E57" s="151"/>
      <c r="F57" s="151"/>
    </row>
    <row r="58" spans="2:6" s="28" customFormat="1" x14ac:dyDescent="0.3">
      <c r="B58" s="26"/>
      <c r="C58" s="87"/>
      <c r="D58" s="87"/>
      <c r="E58" s="151"/>
      <c r="F58" s="151"/>
    </row>
    <row r="59" spans="2:6" x14ac:dyDescent="0.3">
      <c r="B59" s="26"/>
      <c r="D59" s="91"/>
      <c r="E59" s="151"/>
      <c r="F59" s="151"/>
    </row>
    <row r="60" spans="2:6" x14ac:dyDescent="0.3">
      <c r="B60" s="26"/>
      <c r="D60" s="91"/>
      <c r="E60" s="151"/>
      <c r="F60" s="151"/>
    </row>
    <row r="61" spans="2:6" x14ac:dyDescent="0.3">
      <c r="B61" s="26"/>
      <c r="D61" s="91"/>
      <c r="E61" s="151"/>
      <c r="F61" s="151"/>
    </row>
    <row r="62" spans="2:6" x14ac:dyDescent="0.3">
      <c r="B62" s="26"/>
      <c r="D62" s="91"/>
      <c r="E62" s="151"/>
      <c r="F62" s="151"/>
    </row>
    <row r="63" spans="2:6" x14ac:dyDescent="0.3">
      <c r="B63" s="26"/>
      <c r="D63" s="91"/>
      <c r="E63" s="151"/>
      <c r="F63" s="151"/>
    </row>
    <row r="64" spans="2:6" x14ac:dyDescent="0.3">
      <c r="B64" s="26"/>
      <c r="D64" s="91"/>
      <c r="E64" s="151"/>
      <c r="F64" s="151"/>
    </row>
    <row r="65" spans="2:6" x14ac:dyDescent="0.3">
      <c r="B65" s="26"/>
      <c r="D65" s="91"/>
      <c r="E65" s="151"/>
      <c r="F65" s="151"/>
    </row>
    <row r="66" spans="2:6" x14ac:dyDescent="0.3">
      <c r="B66" s="26"/>
      <c r="D66" s="91"/>
      <c r="E66" s="151"/>
      <c r="F66" s="151"/>
    </row>
    <row r="67" spans="2:6" x14ac:dyDescent="0.3">
      <c r="B67" s="26"/>
      <c r="D67" s="91"/>
      <c r="E67" s="151"/>
      <c r="F67" s="151"/>
    </row>
    <row r="68" spans="2:6" x14ac:dyDescent="0.3">
      <c r="B68" s="26"/>
      <c r="D68" s="91"/>
      <c r="E68" s="151"/>
      <c r="F68" s="151"/>
    </row>
    <row r="69" spans="2:6" x14ac:dyDescent="0.3">
      <c r="B69" s="26"/>
      <c r="D69" s="91"/>
      <c r="E69" s="151"/>
      <c r="F69" s="151"/>
    </row>
    <row r="70" spans="2:6" x14ac:dyDescent="0.3">
      <c r="B70" s="26"/>
      <c r="D70" s="91"/>
      <c r="E70" s="151"/>
      <c r="F70" s="151"/>
    </row>
    <row r="71" spans="2:6" x14ac:dyDescent="0.3">
      <c r="B71" s="26"/>
      <c r="D71" s="91"/>
      <c r="E71" s="151"/>
      <c r="F71" s="151"/>
    </row>
    <row r="72" spans="2:6" x14ac:dyDescent="0.3">
      <c r="B72" s="26"/>
      <c r="D72" s="91"/>
      <c r="E72" s="151"/>
      <c r="F72" s="151"/>
    </row>
    <row r="73" spans="2:6" x14ac:dyDescent="0.3">
      <c r="B73" s="26"/>
      <c r="D73" s="91"/>
      <c r="E73" s="151"/>
      <c r="F73" s="151"/>
    </row>
    <row r="74" spans="2:6" x14ac:dyDescent="0.3">
      <c r="B74" s="26"/>
      <c r="D74" s="91"/>
      <c r="E74" s="151"/>
      <c r="F74" s="151"/>
    </row>
    <row r="75" spans="2:6" x14ac:dyDescent="0.3">
      <c r="B75" s="26"/>
      <c r="D75" s="91"/>
      <c r="E75" s="151"/>
      <c r="F75" s="151"/>
    </row>
    <row r="76" spans="2:6" x14ac:dyDescent="0.3">
      <c r="B76" s="26"/>
      <c r="D76" s="91"/>
      <c r="E76" s="151"/>
      <c r="F76" s="151"/>
    </row>
    <row r="77" spans="2:6" x14ac:dyDescent="0.3">
      <c r="B77" s="26"/>
      <c r="D77" s="91"/>
      <c r="E77" s="151"/>
      <c r="F77" s="151"/>
    </row>
    <row r="78" spans="2:6" x14ac:dyDescent="0.3">
      <c r="B78" s="26"/>
      <c r="D78" s="91"/>
      <c r="E78" s="151"/>
      <c r="F78" s="151"/>
    </row>
    <row r="79" spans="2:6" x14ac:dyDescent="0.3">
      <c r="B79" s="26"/>
      <c r="D79" s="91"/>
      <c r="E79" s="151"/>
      <c r="F79" s="151"/>
    </row>
    <row r="80" spans="2:6" x14ac:dyDescent="0.3">
      <c r="B80" s="26"/>
      <c r="D80" s="91"/>
      <c r="E80" s="151"/>
      <c r="F80" s="151"/>
    </row>
    <row r="81" spans="2:6" x14ac:dyDescent="0.3">
      <c r="B81" s="26"/>
      <c r="D81" s="91"/>
      <c r="E81" s="151"/>
      <c r="F81" s="151"/>
    </row>
    <row r="82" spans="2:6" x14ac:dyDescent="0.3">
      <c r="B82" s="26"/>
      <c r="D82" s="91"/>
      <c r="E82" s="151"/>
      <c r="F82" s="151"/>
    </row>
    <row r="83" spans="2:6" x14ac:dyDescent="0.3">
      <c r="B83" s="26"/>
      <c r="D83" s="91"/>
      <c r="E83" s="151"/>
      <c r="F83" s="151"/>
    </row>
    <row r="84" spans="2:6" x14ac:dyDescent="0.3">
      <c r="B84" s="26"/>
      <c r="D84" s="91"/>
      <c r="E84" s="151"/>
      <c r="F84" s="151"/>
    </row>
    <row r="85" spans="2:6" x14ac:dyDescent="0.3">
      <c r="B85" s="26"/>
      <c r="D85" s="91"/>
      <c r="E85" s="151"/>
      <c r="F85" s="151"/>
    </row>
    <row r="86" spans="2:6" x14ac:dyDescent="0.3">
      <c r="B86" s="26"/>
      <c r="D86" s="91"/>
      <c r="E86" s="151"/>
      <c r="F86" s="151"/>
    </row>
    <row r="87" spans="2:6" x14ac:dyDescent="0.3">
      <c r="B87" s="26"/>
      <c r="D87" s="91"/>
      <c r="E87" s="151"/>
      <c r="F87" s="151"/>
    </row>
    <row r="88" spans="2:6" s="28" customFormat="1" x14ac:dyDescent="0.3">
      <c r="B88" s="26"/>
      <c r="C88" s="87"/>
      <c r="D88" s="87"/>
      <c r="E88" s="151"/>
      <c r="F88" s="151"/>
    </row>
    <row r="89" spans="2:6" x14ac:dyDescent="0.3">
      <c r="E89" s="151"/>
      <c r="F89" s="151"/>
    </row>
    <row r="90" spans="2:6" x14ac:dyDescent="0.3">
      <c r="E90" s="151"/>
      <c r="F90" s="151"/>
    </row>
    <row r="91" spans="2:6" x14ac:dyDescent="0.3">
      <c r="E91" s="151"/>
      <c r="F91" s="151"/>
    </row>
    <row r="92" spans="2:6" x14ac:dyDescent="0.3">
      <c r="E92" s="151"/>
      <c r="F92" s="151"/>
    </row>
    <row r="93" spans="2:6" x14ac:dyDescent="0.3">
      <c r="E93" s="151"/>
      <c r="F93" s="151"/>
    </row>
    <row r="94" spans="2:6" x14ac:dyDescent="0.3">
      <c r="E94" s="151"/>
      <c r="F94" s="151"/>
    </row>
    <row r="95" spans="2:6" x14ac:dyDescent="0.3">
      <c r="E95" s="151"/>
      <c r="F95" s="151"/>
    </row>
    <row r="96" spans="2:6" x14ac:dyDescent="0.3">
      <c r="E96" s="151"/>
      <c r="F96" s="151"/>
    </row>
    <row r="97" spans="5:6" x14ac:dyDescent="0.3">
      <c r="E97" s="151"/>
      <c r="F97" s="151"/>
    </row>
    <row r="98" spans="5:6" x14ac:dyDescent="0.3">
      <c r="E98" s="151"/>
      <c r="F98" s="151"/>
    </row>
    <row r="99" spans="5:6" x14ac:dyDescent="0.3">
      <c r="E99" s="151"/>
      <c r="F99" s="151"/>
    </row>
    <row r="100" spans="5:6" x14ac:dyDescent="0.3">
      <c r="E100" s="151"/>
      <c r="F100" s="151"/>
    </row>
    <row r="101" spans="5:6" x14ac:dyDescent="0.3">
      <c r="E101" s="151"/>
      <c r="F101" s="151"/>
    </row>
  </sheetData>
  <mergeCells count="4">
    <mergeCell ref="B37:D37"/>
    <mergeCell ref="B2:D2"/>
    <mergeCell ref="B21:D21"/>
    <mergeCell ref="B30:D30"/>
  </mergeCells>
  <dataValidations count="2">
    <dataValidation type="list" allowBlank="1" showInputMessage="1" showErrorMessage="1" prompt="Line No (Select from Drag Down)" sqref="E42:F101" xr:uid="{00000000-0002-0000-0700-000000000000}">
      <formula1>"1, 2, 3, 4, 5, 6, 7, 8, 9, 10a, 10b, 11, 12, 13, 14, 15, 16, 17, 18, 19, 20, 21, 22, 23, 24, 25, 26, 27, 28, 29, 30, 31, 32, 33"</formula1>
    </dataValidation>
    <dataValidation type="list" allowBlank="1" showInputMessage="1" showErrorMessage="1" prompt="Line No (Select from Drag Down)" sqref="E6:F41" xr:uid="{B1509B23-85F7-443B-94D5-5C98EEA8387E}">
      <formula1>"1, 2, 3, 4, 5, 6, 7, 8, 9, 10a, 10b, 11, 12, 13, 14, 15, 16, 17, 18, 19, 20, 21, 22, 23, 24, 25, 26, 27, 28, 29, 30, 31, 32, 33, Refer to below Working"</formula1>
    </dataValidation>
  </dataValidations>
  <pageMargins left="0.7" right="0.7" top="0.75" bottom="0.75" header="0.3" footer="0.3"/>
  <pageSetup paperSize="9" orientation="portrait" verticalDpi="0" r:id="rId1"/>
  <headerFooter>
    <oddHeader>&amp;L&amp;"Arial,Bold"&amp;8 5:05 PM
&amp;"Arial,Bold"&amp;8 05/08/23
&amp;"Arial,Bold"&amp;8 Accrual Basis&amp;C&amp;"Arial,Bold"&amp;12 El Centro de Libertad/The Freedom Center, Inc.
&amp;"Arial,Bold"&amp;14 Balance Sheet
&amp;"Arial,Bold"&amp;10 As of June 30, 2022</oddHeader>
    <oddFooter>&amp;R&amp;"Arial,Bold"&amp;8 Page &amp;P of &amp;N</oddFooter>
  </headerFooter>
  <customProperties>
    <customPr name="OrphanNamesChecked" r:id="rId2"/>
  </customProperties>
  <drawing r:id="rId3"/>
  <legacyDrawing r:id="rId4"/>
  <controls>
    <mc:AlternateContent xmlns:mc="http://schemas.openxmlformats.org/markup-compatibility/2006">
      <mc:Choice Requires="x14">
        <control shapeId="27649" r:id="rId5" name="FILTER">
          <controlPr defaultSize="0" autoLine="0" r:id="rId6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914400</xdr:colOff>
                <xdr:row>1</xdr:row>
                <xdr:rowOff>38100</xdr:rowOff>
              </to>
            </anchor>
          </controlPr>
        </control>
      </mc:Choice>
      <mc:Fallback>
        <control shapeId="27649" r:id="rId5" name="FILTER"/>
      </mc:Fallback>
    </mc:AlternateContent>
    <mc:AlternateContent xmlns:mc="http://schemas.openxmlformats.org/markup-compatibility/2006">
      <mc:Choice Requires="x14">
        <control shapeId="27650" r:id="rId7" name="HEADER">
          <controlPr defaultSize="0" autoLine="0" r:id="rId8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914400</xdr:colOff>
                <xdr:row>1</xdr:row>
                <xdr:rowOff>38100</xdr:rowOff>
              </to>
            </anchor>
          </controlPr>
        </control>
      </mc:Choice>
      <mc:Fallback>
        <control shapeId="27650" r:id="rId7" name="HEADER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2646A0FCC7E0418BFD3DC8EEE910B6" ma:contentTypeVersion="4" ma:contentTypeDescription="Create a new document." ma:contentTypeScope="" ma:versionID="e6fb6f25f8968ef0bc6023ba03d4d4d1">
  <xsd:schema xmlns:xsd="http://www.w3.org/2001/XMLSchema" xmlns:xs="http://www.w3.org/2001/XMLSchema" xmlns:p="http://schemas.microsoft.com/office/2006/metadata/properties" xmlns:ns2="18ff8b72-2164-4582-97bf-3f46888977d4" targetNamespace="http://schemas.microsoft.com/office/2006/metadata/properties" ma:root="true" ma:fieldsID="67e803a3124f8d69df581fce3fecf6ec" ns2:_="">
    <xsd:import namespace="18ff8b72-2164-4582-97bf-3f46888977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ff8b72-2164-4582-97bf-3f46888977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55FFBF-62C9-4CB4-B4AD-3BC4FAB8A4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ff8b72-2164-4582-97bf-3f4688897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76C376-774A-46D3-B689-5F0C1C14D1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Review-Checkpoints</vt:lpstr>
      <vt:lpstr>Part VIII - Revenue</vt:lpstr>
      <vt:lpstr>Part IX - Expenses</vt:lpstr>
      <vt:lpstr>Part X - Balance Sheet</vt:lpstr>
      <vt:lpstr>Part XI - Net Asset Recon.</vt:lpstr>
      <vt:lpstr>Queries</vt:lpstr>
      <vt:lpstr>TB Mapping</vt:lpstr>
      <vt:lpstr>SOR</vt:lpstr>
      <vt:lpstr>SOFE</vt:lpstr>
      <vt:lpstr>Compensation</vt:lpstr>
      <vt:lpstr>CA Rollforward</vt:lpstr>
      <vt:lpstr>SOFP</vt:lpstr>
      <vt:lpstr>'Part X - Balance Sheet'!Print_Area</vt:lpstr>
      <vt:lpstr>SOFP!Print_Titles</vt:lpstr>
      <vt:lpstr>SOR!Print_Titles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2025-07-08T09:58:18Z</dcterms:modified>
  <cp:category/>
  <cp:contentStatus/>
</cp:coreProperties>
</file>