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200.110\f2\HCLLP-Audit Clients\ICDC ICON COMMUNITY DEVELOPMENT CORPORATION\ICDC-2024 ICON COMMUNITY DEVELOPMENT CORPORATION 06-30-2024\"/>
    </mc:Choice>
  </mc:AlternateContent>
  <xr:revisionPtr revIDLastSave="0" documentId="13_ncr:1_{3661D3A4-B474-48D2-96BC-88F763DF27C1}" xr6:coauthVersionLast="47" xr6:coauthVersionMax="47" xr10:uidLastSave="{00000000-0000-0000-0000-000000000000}"/>
  <bookViews>
    <workbookView xWindow="-28920" yWindow="-795" windowWidth="29040" windowHeight="15840" xr2:uid="{57674AC0-D728-4FA4-ACEF-5DC166EC33CB}"/>
  </bookViews>
  <sheets>
    <sheet name="TB Formatted" sheetId="3" r:id="rId1"/>
    <sheet name="Trial Balance_PBC" sheetId="2" r:id="rId2"/>
  </sheets>
  <definedNames>
    <definedName name="_xlnm._FilterDatabase" localSheetId="0" hidden="1">'TB Formatted'!$B$11:$F$89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" l="1"/>
  <c r="B96" i="2" l="1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B29" i="2"/>
  <c r="B28" i="2"/>
  <c r="B27" i="2"/>
  <c r="B26" i="2"/>
  <c r="B25" i="2"/>
  <c r="B24" i="2"/>
  <c r="C23" i="2"/>
  <c r="C22" i="2"/>
  <c r="C97" i="2" s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97" i="2" s="1"/>
</calcChain>
</file>

<file path=xl/sharedStrings.xml><?xml version="1.0" encoding="utf-8"?>
<sst xmlns="http://schemas.openxmlformats.org/spreadsheetml/2006/main" count="192" uniqueCount="112">
  <si>
    <t>Initiating Change in Our Neighborhoods CDC</t>
  </si>
  <si>
    <t>Trial Balance</t>
  </si>
  <si>
    <t>As of June 30, 2024</t>
  </si>
  <si>
    <t>Debit</t>
  </si>
  <si>
    <t>Credit</t>
  </si>
  <si>
    <t>1000 U.S. Bank North Valley #5272</t>
  </si>
  <si>
    <t>1020 US Bank-Other Grants#3584</t>
  </si>
  <si>
    <t>1030 US Bank-General Fund#3576</t>
  </si>
  <si>
    <t>1040 US Bank-BusinessSource SV #3568</t>
  </si>
  <si>
    <t>Petty Cash-Acct.3568</t>
  </si>
  <si>
    <t>Petty Cash-Acct.3576</t>
  </si>
  <si>
    <t>1100 Accounts receivable</t>
  </si>
  <si>
    <t>1050 Petty Cash</t>
  </si>
  <si>
    <t>1200 Undeposited Funds</t>
  </si>
  <si>
    <t>1750 Right of Use Asset</t>
  </si>
  <si>
    <t>Prepaid Expenses</t>
  </si>
  <si>
    <t>Prepaid Expenses:Business Office</t>
  </si>
  <si>
    <t>Prepaid Expenses:Health and Dental Insurance</t>
  </si>
  <si>
    <t>Prepaid Expenses:Non-owned Vehicle</t>
  </si>
  <si>
    <t>Prepaid Expenses:Worker's Compensation</t>
  </si>
  <si>
    <t>1730 Building Improvements</t>
  </si>
  <si>
    <t>1745 Accumulated depreciation</t>
  </si>
  <si>
    <t>1760 Right of Use Asset Accumulated Amortization Asset</t>
  </si>
  <si>
    <t>1740 Property &amp; equipment:Computer Hardware</t>
  </si>
  <si>
    <t>1710 ICON 13168-13172 Pacoima-Land</t>
  </si>
  <si>
    <t>1720 ICON 13168 -13172 Pacoima-Building</t>
  </si>
  <si>
    <t>1721 ICON 13476 Pacoima Building</t>
  </si>
  <si>
    <t>Loan Fund</t>
  </si>
  <si>
    <t>Payroll Clearing</t>
  </si>
  <si>
    <t>2000 Accounts Payable</t>
  </si>
  <si>
    <t>2100 Payroll Liabilities</t>
  </si>
  <si>
    <t>2101 Payroll Liabilities:Federal Payroll Taxes</t>
  </si>
  <si>
    <t>2102 Payroll Liabilities:California Payroll Taxes</t>
  </si>
  <si>
    <t>2103 Payroll Liabilities:FUTA</t>
  </si>
  <si>
    <t>2104 Payroll Liabilities:401K Employee Contribution</t>
  </si>
  <si>
    <t>2105 Payroll Liabilities:Health Ins Withed</t>
  </si>
  <si>
    <t>2250 Deferred Revenue</t>
  </si>
  <si>
    <t>2251 Fiscal Sponsor Revenue/Expense</t>
  </si>
  <si>
    <t>2260 Lease Liability Short Term</t>
  </si>
  <si>
    <t>Vacation Accrual</t>
  </si>
  <si>
    <t>2120 Lease Liability Long Term</t>
  </si>
  <si>
    <t>2122 13476 Van Nuys Loan-Commercial</t>
  </si>
  <si>
    <t>Notes Payable</t>
  </si>
  <si>
    <t>3010 Net assets - unrestricted</t>
  </si>
  <si>
    <t>3000 Rental Income</t>
  </si>
  <si>
    <t>3110 Grants</t>
  </si>
  <si>
    <t>3113 Grants:Other Grants</t>
  </si>
  <si>
    <t>3114 Grants:Business Source</t>
  </si>
  <si>
    <t>3115 Fee For Service</t>
  </si>
  <si>
    <t>Fee For Service:Loan Fees</t>
  </si>
  <si>
    <t>1001 Misc Income:Events</t>
  </si>
  <si>
    <t>Donation</t>
  </si>
  <si>
    <t>Interest Income</t>
  </si>
  <si>
    <t>Sales</t>
  </si>
  <si>
    <t>4000 General &amp; Administrative:Marketing</t>
  </si>
  <si>
    <t>4014 General &amp; Administrative:Event</t>
  </si>
  <si>
    <t>4020 General &amp; Administrative:Interest Exp</t>
  </si>
  <si>
    <t>4026 General &amp; Administrative:Outside Professional Consultant</t>
  </si>
  <si>
    <t>4031 General &amp; Administrative:Legal fees</t>
  </si>
  <si>
    <t>4032 General &amp; Administrative:Accounting Fees</t>
  </si>
  <si>
    <t>4033 General &amp; Administrative:Travel/Mileage expense</t>
  </si>
  <si>
    <t>4035 General &amp; Administrative:Computer software &amp; expenses</t>
  </si>
  <si>
    <t>4036 General &amp; Administrative:Conference,convention,meeting</t>
  </si>
  <si>
    <t>4037 General &amp; Administrative:Equipment Purchases</t>
  </si>
  <si>
    <t>4039 General &amp; Administrative:Program Expenses</t>
  </si>
  <si>
    <t>4041 General &amp; Administrative:Postage, shipping, delivery</t>
  </si>
  <si>
    <t>4042 General &amp; Administrative:Phone/Internet</t>
  </si>
  <si>
    <t>4043 General &amp; Administrative:Maintenance/Cleaning</t>
  </si>
  <si>
    <t>4044 General &amp; Administrative:Rent</t>
  </si>
  <si>
    <t>4045 General &amp; Administrative:Security</t>
  </si>
  <si>
    <t>4046 General &amp; Administrative:Staff development</t>
  </si>
  <si>
    <t>4047 General &amp; Administrative:Human Resources Services</t>
  </si>
  <si>
    <t>4051 General &amp; Administrative:Subcontractor:Other Subcontractors</t>
  </si>
  <si>
    <t>4053 General &amp; Administrative:Subcontractor:Marketing &amp; Strategic Planning</t>
  </si>
  <si>
    <t>4054 General &amp; Administrative:Subcontractor:Policy and Planning</t>
  </si>
  <si>
    <t>4055 General &amp; Administrative:Subcontractor:Grant Writing</t>
  </si>
  <si>
    <t>4060 General &amp; Administrative:Materials &amp; Supplies</t>
  </si>
  <si>
    <t>4070 General &amp; Administrative:Licenses, Permits, Fees</t>
  </si>
  <si>
    <t>4080 General &amp; Administrative:Professional Insurance</t>
  </si>
  <si>
    <t>General &amp; Administrative:Professional Insurance:D&amp;O</t>
  </si>
  <si>
    <t>General &amp; Administrative:Professional Insurance:Property Insurance</t>
  </si>
  <si>
    <t>4090 General &amp; Administrative:Utilities</t>
  </si>
  <si>
    <t>4091 General &amp; Administrative:Bank Service Charge</t>
  </si>
  <si>
    <t>4092 General &amp; Administrative:Payroll processing fees</t>
  </si>
  <si>
    <t>8310 General &amp; Administrative:Travel</t>
  </si>
  <si>
    <t>8530 General &amp; Administrative:Membership dues - organization</t>
  </si>
  <si>
    <t>General &amp; Administrative:Bank charges</t>
  </si>
  <si>
    <t>4038 Payroll Expeneses:Health Insurance</t>
  </si>
  <si>
    <t>4102 Payroll Expeneses:Salaries &amp; wages - office</t>
  </si>
  <si>
    <t>4110 Payroll Expeneses:Payroll tax expense</t>
  </si>
  <si>
    <t>4111 Payroll Expeneses:Payroll tax expense:SUI</t>
  </si>
  <si>
    <t>4130 Payroll Expeneses:Workers Comp. Insurance</t>
  </si>
  <si>
    <t>7241 Payroll Expeneses:Employee benefits:401k fee</t>
  </si>
  <si>
    <t>Payroll Expeneses:Vacation Expense</t>
  </si>
  <si>
    <t>SEED Grant</t>
  </si>
  <si>
    <t>99999-</t>
  </si>
  <si>
    <t>TOTAL</t>
  </si>
  <si>
    <t>Tuesday, Oct 15, 2024 04:07:19 PM GMT-7 - Accrual Basis</t>
  </si>
  <si>
    <t>Balance</t>
  </si>
  <si>
    <t>Account Description</t>
  </si>
  <si>
    <t>Account Code</t>
  </si>
  <si>
    <t>Name of Client:</t>
  </si>
  <si>
    <t>Workpaper:</t>
  </si>
  <si>
    <t>Yearend:</t>
  </si>
  <si>
    <t>Source:</t>
  </si>
  <si>
    <t>Icon communioty Development Corporation</t>
  </si>
  <si>
    <t>Trial Balance Formatted</t>
  </si>
  <si>
    <t>AD-1801_Trial Balnce_PBC</t>
  </si>
  <si>
    <t>Procedure:</t>
  </si>
  <si>
    <t>We have formatted trial balance provided by the client in the uniform format to prior year trial balance.</t>
  </si>
  <si>
    <t>Purpose</t>
  </si>
  <si>
    <t>To format &amp; analysis the trial balance provided by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</si>
</sst>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\ _€"/>
    <numFmt numFmtId="165" formatCode="&quot;$&quot;* #,##0.00\ _€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2" fillId="0" borderId="0" xfId="2"/>
    <xf numFmtId="0" fontId="2" fillId="0" borderId="0" xfId="2" applyAlignment="1">
      <alignment wrapText="1"/>
    </xf>
    <xf numFmtId="0" fontId="5" fillId="0" borderId="1" xfId="2" applyFont="1" applyBorder="1" applyAlignment="1">
      <alignment horizontal="center" wrapText="1"/>
    </xf>
    <xf numFmtId="0" fontId="6" fillId="0" borderId="0" xfId="2" applyFont="1" applyAlignment="1">
      <alignment horizontal="left" wrapText="1"/>
    </xf>
    <xf numFmtId="164" fontId="7" fillId="0" borderId="0" xfId="2" applyNumberFormat="1" applyFont="1" applyAlignment="1">
      <alignment horizontal="right" wrapText="1"/>
    </xf>
    <xf numFmtId="164" fontId="7" fillId="0" borderId="0" xfId="2" applyNumberFormat="1" applyFont="1" applyAlignment="1">
      <alignment wrapText="1"/>
    </xf>
    <xf numFmtId="165" fontId="6" fillId="0" borderId="2" xfId="2" applyNumberFormat="1" applyFont="1" applyBorder="1" applyAlignment="1">
      <alignment horizontal="right" wrapText="1"/>
    </xf>
    <xf numFmtId="0" fontId="8" fillId="0" borderId="0" xfId="2" applyFont="1"/>
    <xf numFmtId="0" fontId="9" fillId="0" borderId="0" xfId="2" applyFont="1"/>
    <xf numFmtId="0" fontId="8" fillId="2" borderId="3" xfId="2" applyFont="1" applyFill="1" applyBorder="1" applyAlignment="1">
      <alignment wrapText="1"/>
    </xf>
    <xf numFmtId="43" fontId="9" fillId="0" borderId="0" xfId="1" applyFont="1" applyAlignment="1"/>
    <xf numFmtId="43" fontId="9" fillId="0" borderId="0" xfId="1" applyFont="1"/>
    <xf numFmtId="43" fontId="8" fillId="2" borderId="3" xfId="1" applyFont="1" applyFill="1" applyBorder="1" applyAlignment="1">
      <alignment horizontal="center" wrapText="1"/>
    </xf>
    <xf numFmtId="43" fontId="8" fillId="2" borderId="3" xfId="1" applyFont="1" applyFill="1" applyBorder="1"/>
    <xf numFmtId="14" fontId="8" fillId="0" borderId="0" xfId="2" applyNumberFormat="1" applyFont="1" applyAlignment="1">
      <alignment horizontal="left"/>
    </xf>
    <xf numFmtId="0" fontId="10" fillId="0" borderId="0" xfId="2" applyFont="1"/>
    <xf numFmtId="0" fontId="10" fillId="0" borderId="0" xfId="0" applyFont="1"/>
    <xf numFmtId="0" fontId="11" fillId="0" borderId="4" xfId="0" applyFont="1" applyBorder="1"/>
    <xf numFmtId="43" fontId="11" fillId="0" borderId="4" xfId="1" applyFont="1" applyBorder="1"/>
    <xf numFmtId="0" fontId="11" fillId="0" borderId="5" xfId="0" applyFont="1" applyBorder="1"/>
    <xf numFmtId="43" fontId="11" fillId="0" borderId="5" xfId="1" applyFont="1" applyBorder="1"/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/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6DFD1B7D-7AF1-47DF-8258-9C5219AFED9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B2B8-23CA-4E36-9B9F-D4B418DE77D3}">
  <dimension ref="B1:F89"/>
  <sheetViews>
    <sheetView tabSelected="1" workbookViewId="0">
      <selection activeCell="H13" sqref="H13"/>
    </sheetView>
  </sheetViews>
  <sheetFormatPr defaultRowHeight="13" x14ac:dyDescent="0.3"/>
  <cols>
    <col min="1" max="1" width="4.08984375" style="9" customWidth="1"/>
    <col min="2" max="2" width="12.6328125" style="9" bestFit="1" customWidth="1"/>
    <col min="3" max="3" width="30.453125" style="9" customWidth="1"/>
    <col min="4" max="5" width="11.81640625" style="12" bestFit="1" customWidth="1"/>
    <col min="6" max="6" width="13.453125" style="12" bestFit="1" customWidth="1"/>
    <col min="7" max="16384" width="8.7265625" style="9"/>
  </cols>
  <sheetData>
    <row r="1" spans="2:6" x14ac:dyDescent="0.3">
      <c r="C1" s="8"/>
      <c r="D1" s="11"/>
      <c r="E1" s="11"/>
    </row>
    <row r="2" spans="2:6" x14ac:dyDescent="0.3">
      <c r="B2" s="8" t="s">
        <v>101</v>
      </c>
      <c r="C2" s="8" t="s">
        <v>105</v>
      </c>
      <c r="D2" s="11"/>
      <c r="E2" s="11"/>
    </row>
    <row r="3" spans="2:6" x14ac:dyDescent="0.3">
      <c r="B3" s="8" t="s">
        <v>102</v>
      </c>
      <c r="C3" s="8" t="s">
        <v>106</v>
      </c>
      <c r="D3" s="11"/>
      <c r="E3" s="11"/>
    </row>
    <row r="4" spans="2:6" x14ac:dyDescent="0.3">
      <c r="B4" s="8" t="s">
        <v>103</v>
      </c>
      <c r="C4" s="15">
        <v>45473</v>
      </c>
      <c r="D4" s="11"/>
      <c r="E4" s="11"/>
    </row>
    <row r="5" spans="2:6" x14ac:dyDescent="0.3">
      <c r="C5" s="8"/>
      <c r="D5" s="11"/>
      <c r="E5" s="11"/>
    </row>
    <row r="6" spans="2:6" x14ac:dyDescent="0.3">
      <c r="B6" s="16" t="s">
        <v>104</v>
      </c>
      <c r="C6" s="16" t="s">
        <v>107</v>
      </c>
      <c r="D6" s="11"/>
      <c r="E6" s="11"/>
    </row>
    <row r="7" spans="2:6" x14ac:dyDescent="0.3">
      <c r="B7" s="17" t="s">
        <v>108</v>
      </c>
      <c r="C7" s="17" t="s">
        <v>109</v>
      </c>
      <c r="D7" s="11"/>
      <c r="E7" s="11"/>
    </row>
    <row r="8" spans="2:6" x14ac:dyDescent="0.3">
      <c r="B8" s="17" t="s">
        <v>110</v>
      </c>
      <c r="C8" s="17" t="s">
        <v>111</v>
      </c>
    </row>
    <row r="9" spans="2:6" x14ac:dyDescent="0.3">
      <c r="B9" s="17"/>
      <c r="C9" s="17"/>
    </row>
    <row r="10" spans="2:6" x14ac:dyDescent="0.3">
      <c r="B10" s="17"/>
      <c r="C10" s="17"/>
      <c r="F10" s="12">
        <f>SUBTOTAL(9,F12:F89)</f>
        <v>3.9126746287365677E-10</v>
      </c>
    </row>
    <row r="11" spans="2:6" x14ac:dyDescent="0.3">
      <c r="B11" s="10" t="s">
        <v>100</v>
      </c>
      <c r="C11" s="10" t="s">
        <v>99</v>
      </c>
      <c r="D11" s="13" t="s">
        <v>3</v>
      </c>
      <c r="E11" s="13" t="s">
        <v>4</v>
      </c>
      <c r="F11" s="14" t="s">
        <v>98</v>
      </c>
    </row>
    <row r="12" spans="2:6" x14ac:dyDescent="0.3">
      <c r="B12" s="22">
        <v>1000</v>
      </c>
      <c r="C12" s="18" t="s">
        <v>5</v>
      </c>
      <c r="D12" s="19">
        <v>2737.22</v>
      </c>
      <c r="E12" s="19"/>
      <c r="F12" s="19">
        <v>2737.22</v>
      </c>
    </row>
    <row r="13" spans="2:6" x14ac:dyDescent="0.3">
      <c r="B13" s="22">
        <v>1020</v>
      </c>
      <c r="C13" s="18" t="s">
        <v>6</v>
      </c>
      <c r="D13" s="19">
        <v>694244.66</v>
      </c>
      <c r="E13" s="19"/>
      <c r="F13" s="19">
        <v>694244.66</v>
      </c>
    </row>
    <row r="14" spans="2:6" x14ac:dyDescent="0.3">
      <c r="B14" s="22">
        <v>1030</v>
      </c>
      <c r="C14" s="18" t="s">
        <v>7</v>
      </c>
      <c r="D14" s="19">
        <v>598627.72</v>
      </c>
      <c r="E14" s="19"/>
      <c r="F14" s="19">
        <v>598627.72</v>
      </c>
    </row>
    <row r="15" spans="2:6" x14ac:dyDescent="0.3">
      <c r="B15" s="22">
        <v>1040</v>
      </c>
      <c r="C15" s="18" t="s">
        <v>8</v>
      </c>
      <c r="D15" s="19">
        <v>5621.87</v>
      </c>
      <c r="E15" s="19"/>
      <c r="F15" s="19">
        <v>5621.87</v>
      </c>
    </row>
    <row r="16" spans="2:6" x14ac:dyDescent="0.3">
      <c r="B16" s="22">
        <v>1050</v>
      </c>
      <c r="C16" s="18" t="s">
        <v>12</v>
      </c>
      <c r="D16" s="19">
        <v>339.36</v>
      </c>
      <c r="E16" s="19"/>
      <c r="F16" s="19">
        <v>339.36</v>
      </c>
    </row>
    <row r="17" spans="2:6" x14ac:dyDescent="0.3">
      <c r="B17" s="22">
        <v>1100</v>
      </c>
      <c r="C17" s="18" t="s">
        <v>11</v>
      </c>
      <c r="D17" s="19">
        <v>526744.74</v>
      </c>
      <c r="E17" s="19"/>
      <c r="F17" s="19">
        <v>526744.74</v>
      </c>
    </row>
    <row r="18" spans="2:6" x14ac:dyDescent="0.3">
      <c r="B18" s="22">
        <v>1320</v>
      </c>
      <c r="C18" s="18" t="s">
        <v>17</v>
      </c>
      <c r="D18" s="19">
        <v>1116.1300000000001</v>
      </c>
      <c r="E18" s="19"/>
      <c r="F18" s="19">
        <v>1116.1300000000001</v>
      </c>
    </row>
    <row r="19" spans="2:6" x14ac:dyDescent="0.3">
      <c r="B19" s="22">
        <v>1330</v>
      </c>
      <c r="C19" s="18" t="s">
        <v>15</v>
      </c>
      <c r="D19" s="19">
        <v>1416.63</v>
      </c>
      <c r="E19" s="19"/>
      <c r="F19" s="19">
        <v>1416.63</v>
      </c>
    </row>
    <row r="20" spans="2:6" x14ac:dyDescent="0.3">
      <c r="B20" s="22">
        <v>1340</v>
      </c>
      <c r="C20" s="18" t="s">
        <v>16</v>
      </c>
      <c r="D20" s="19">
        <v>9956.7999999999993</v>
      </c>
      <c r="E20" s="19"/>
      <c r="F20" s="19">
        <v>9956.7999999999993</v>
      </c>
    </row>
    <row r="21" spans="2:6" x14ac:dyDescent="0.3">
      <c r="B21" s="22">
        <v>1710</v>
      </c>
      <c r="C21" s="18" t="s">
        <v>24</v>
      </c>
      <c r="D21" s="19">
        <v>736611</v>
      </c>
      <c r="E21" s="19"/>
      <c r="F21" s="19">
        <v>736611</v>
      </c>
    </row>
    <row r="22" spans="2:6" x14ac:dyDescent="0.3">
      <c r="B22" s="22">
        <v>1720</v>
      </c>
      <c r="C22" s="18" t="s">
        <v>25</v>
      </c>
      <c r="D22" s="19">
        <v>448177</v>
      </c>
      <c r="E22" s="19"/>
      <c r="F22" s="19">
        <v>448177</v>
      </c>
    </row>
    <row r="23" spans="2:6" x14ac:dyDescent="0.3">
      <c r="B23" s="22">
        <v>1721</v>
      </c>
      <c r="C23" s="18" t="s">
        <v>26</v>
      </c>
      <c r="D23" s="19">
        <v>2300000</v>
      </c>
      <c r="E23" s="19"/>
      <c r="F23" s="19">
        <v>2300000</v>
      </c>
    </row>
    <row r="24" spans="2:6" x14ac:dyDescent="0.3">
      <c r="B24" s="22">
        <v>1730</v>
      </c>
      <c r="C24" s="18" t="s">
        <v>20</v>
      </c>
      <c r="D24" s="19">
        <v>58135</v>
      </c>
      <c r="E24" s="19"/>
      <c r="F24" s="19">
        <v>58135</v>
      </c>
    </row>
    <row r="25" spans="2:6" x14ac:dyDescent="0.3">
      <c r="B25" s="22">
        <v>1740</v>
      </c>
      <c r="C25" s="18" t="s">
        <v>23</v>
      </c>
      <c r="D25" s="19">
        <v>35796.14</v>
      </c>
      <c r="E25" s="19"/>
      <c r="F25" s="19">
        <v>35796.14</v>
      </c>
    </row>
    <row r="26" spans="2:6" x14ac:dyDescent="0.3">
      <c r="B26" s="22">
        <v>1745</v>
      </c>
      <c r="C26" s="18" t="s">
        <v>21</v>
      </c>
      <c r="D26" s="19"/>
      <c r="E26" s="19">
        <v>53568.53</v>
      </c>
      <c r="F26" s="19">
        <v>-53568.53</v>
      </c>
    </row>
    <row r="27" spans="2:6" x14ac:dyDescent="0.3">
      <c r="B27" s="22">
        <v>1750</v>
      </c>
      <c r="C27" s="18" t="s">
        <v>14</v>
      </c>
      <c r="D27" s="19">
        <v>141058.04</v>
      </c>
      <c r="E27" s="19"/>
      <c r="F27" s="19">
        <v>141058.04</v>
      </c>
    </row>
    <row r="28" spans="2:6" x14ac:dyDescent="0.3">
      <c r="B28" s="22">
        <v>1760</v>
      </c>
      <c r="C28" s="18" t="s">
        <v>22</v>
      </c>
      <c r="D28" s="19"/>
      <c r="E28" s="19">
        <v>55223.56</v>
      </c>
      <c r="F28" s="19">
        <v>-55223.56</v>
      </c>
    </row>
    <row r="29" spans="2:6" x14ac:dyDescent="0.3">
      <c r="B29" s="22">
        <v>2000</v>
      </c>
      <c r="C29" s="18" t="s">
        <v>29</v>
      </c>
      <c r="D29" s="19"/>
      <c r="E29" s="19">
        <v>10967.39</v>
      </c>
      <c r="F29" s="19">
        <v>-10967.39</v>
      </c>
    </row>
    <row r="30" spans="2:6" x14ac:dyDescent="0.3">
      <c r="B30" s="22">
        <v>2100</v>
      </c>
      <c r="C30" s="18" t="s">
        <v>30</v>
      </c>
      <c r="D30" s="19"/>
      <c r="E30" s="19">
        <v>5506.69</v>
      </c>
      <c r="F30" s="19">
        <v>-5506.69</v>
      </c>
    </row>
    <row r="31" spans="2:6" x14ac:dyDescent="0.3">
      <c r="B31" s="22">
        <v>2105</v>
      </c>
      <c r="C31" s="18" t="s">
        <v>35</v>
      </c>
      <c r="D31" s="19"/>
      <c r="E31" s="19">
        <v>2225.4699999999998</v>
      </c>
      <c r="F31" s="19">
        <v>-2225.4699999999998</v>
      </c>
    </row>
    <row r="32" spans="2:6" x14ac:dyDescent="0.3">
      <c r="B32" s="22">
        <v>2110</v>
      </c>
      <c r="C32" s="18" t="s">
        <v>39</v>
      </c>
      <c r="D32" s="19"/>
      <c r="E32" s="19">
        <v>29892.51</v>
      </c>
      <c r="F32" s="19">
        <v>-29892.51</v>
      </c>
    </row>
    <row r="33" spans="2:6" x14ac:dyDescent="0.3">
      <c r="B33" s="22">
        <v>2120</v>
      </c>
      <c r="C33" s="18" t="s">
        <v>40</v>
      </c>
      <c r="D33" s="19"/>
      <c r="E33" s="19">
        <v>29694.31</v>
      </c>
      <c r="F33" s="19">
        <v>-29694.31</v>
      </c>
    </row>
    <row r="34" spans="2:6" x14ac:dyDescent="0.3">
      <c r="B34" s="22">
        <v>2122</v>
      </c>
      <c r="C34" s="18" t="s">
        <v>41</v>
      </c>
      <c r="D34" s="19"/>
      <c r="E34" s="19">
        <v>1860000</v>
      </c>
      <c r="F34" s="19">
        <v>-1860000</v>
      </c>
    </row>
    <row r="35" spans="2:6" x14ac:dyDescent="0.3">
      <c r="B35" s="22">
        <v>2251</v>
      </c>
      <c r="C35" s="18" t="s">
        <v>37</v>
      </c>
      <c r="D35" s="19"/>
      <c r="E35" s="19">
        <v>4810.05</v>
      </c>
      <c r="F35" s="19">
        <v>-4810.05</v>
      </c>
    </row>
    <row r="36" spans="2:6" x14ac:dyDescent="0.3">
      <c r="B36" s="22">
        <v>2260</v>
      </c>
      <c r="C36" s="18" t="s">
        <v>38</v>
      </c>
      <c r="D36" s="19"/>
      <c r="E36" s="19">
        <v>57312.15</v>
      </c>
      <c r="F36" s="19">
        <v>-57312.15</v>
      </c>
    </row>
    <row r="37" spans="2:6" x14ac:dyDescent="0.3">
      <c r="B37" s="22">
        <v>3000</v>
      </c>
      <c r="C37" s="18" t="s">
        <v>44</v>
      </c>
      <c r="D37" s="19"/>
      <c r="E37" s="19">
        <v>41182</v>
      </c>
      <c r="F37" s="19">
        <v>-41182</v>
      </c>
    </row>
    <row r="38" spans="2:6" x14ac:dyDescent="0.3">
      <c r="B38" s="22">
        <v>3010</v>
      </c>
      <c r="C38" s="18" t="s">
        <v>43</v>
      </c>
      <c r="D38" s="19"/>
      <c r="E38" s="19">
        <v>2657663.46</v>
      </c>
      <c r="F38" s="19">
        <v>-2657663.46</v>
      </c>
    </row>
    <row r="39" spans="2:6" x14ac:dyDescent="0.3">
      <c r="B39" s="22">
        <v>3110</v>
      </c>
      <c r="C39" s="18" t="s">
        <v>45</v>
      </c>
      <c r="D39" s="19"/>
      <c r="E39" s="19">
        <v>1604445.14</v>
      </c>
      <c r="F39" s="19">
        <v>-1604445.14</v>
      </c>
    </row>
    <row r="40" spans="2:6" x14ac:dyDescent="0.3">
      <c r="B40" s="22">
        <v>3113</v>
      </c>
      <c r="C40" s="18" t="s">
        <v>46</v>
      </c>
      <c r="D40" s="19"/>
      <c r="E40" s="19">
        <v>947000</v>
      </c>
      <c r="F40" s="19">
        <v>-947000</v>
      </c>
    </row>
    <row r="41" spans="2:6" x14ac:dyDescent="0.3">
      <c r="B41" s="22">
        <v>3114</v>
      </c>
      <c r="C41" s="18" t="s">
        <v>47</v>
      </c>
      <c r="D41" s="19"/>
      <c r="E41" s="19">
        <v>1110245.54</v>
      </c>
      <c r="F41" s="19">
        <v>-1110245.54</v>
      </c>
    </row>
    <row r="42" spans="2:6" x14ac:dyDescent="0.3">
      <c r="B42" s="22">
        <v>3115</v>
      </c>
      <c r="C42" s="18" t="s">
        <v>48</v>
      </c>
      <c r="D42" s="19"/>
      <c r="E42" s="19">
        <v>3802.5</v>
      </c>
      <c r="F42" s="19">
        <v>-3802.5</v>
      </c>
    </row>
    <row r="43" spans="2:6" x14ac:dyDescent="0.3">
      <c r="B43" s="22">
        <v>3117</v>
      </c>
      <c r="C43" s="18" t="s">
        <v>49</v>
      </c>
      <c r="D43" s="19"/>
      <c r="E43" s="19">
        <v>1150</v>
      </c>
      <c r="F43" s="19">
        <v>-1150</v>
      </c>
    </row>
    <row r="44" spans="2:6" x14ac:dyDescent="0.3">
      <c r="B44" s="22">
        <v>3300</v>
      </c>
      <c r="C44" s="18" t="s">
        <v>51</v>
      </c>
      <c r="D44" s="19"/>
      <c r="E44" s="19">
        <v>48000</v>
      </c>
      <c r="F44" s="19">
        <v>-48000</v>
      </c>
    </row>
    <row r="45" spans="2:6" x14ac:dyDescent="0.3">
      <c r="B45" s="22">
        <v>3501</v>
      </c>
      <c r="C45" s="18" t="s">
        <v>50</v>
      </c>
      <c r="D45" s="19"/>
      <c r="E45" s="19">
        <v>23869.66</v>
      </c>
      <c r="F45" s="19">
        <v>-23869.66</v>
      </c>
    </row>
    <row r="46" spans="2:6" x14ac:dyDescent="0.3">
      <c r="B46" s="22">
        <v>3510</v>
      </c>
      <c r="C46" s="18" t="s">
        <v>52</v>
      </c>
      <c r="D46" s="19"/>
      <c r="E46" s="19">
        <v>4248.7700000000004</v>
      </c>
      <c r="F46" s="19">
        <v>-4248.7700000000004</v>
      </c>
    </row>
    <row r="47" spans="2:6" x14ac:dyDescent="0.3">
      <c r="B47" s="22">
        <v>3520</v>
      </c>
      <c r="C47" s="18" t="s">
        <v>53</v>
      </c>
      <c r="D47" s="19"/>
      <c r="E47" s="19">
        <v>5000</v>
      </c>
      <c r="F47" s="19">
        <v>-5000</v>
      </c>
    </row>
    <row r="48" spans="2:6" x14ac:dyDescent="0.3">
      <c r="B48" s="22">
        <v>4000</v>
      </c>
      <c r="C48" s="18" t="s">
        <v>54</v>
      </c>
      <c r="D48" s="19">
        <v>84012.41</v>
      </c>
      <c r="E48" s="19"/>
      <c r="F48" s="19">
        <v>84012.41</v>
      </c>
    </row>
    <row r="49" spans="2:6" x14ac:dyDescent="0.3">
      <c r="B49" s="22">
        <v>4014</v>
      </c>
      <c r="C49" s="18" t="s">
        <v>55</v>
      </c>
      <c r="D49" s="19">
        <v>35540.86</v>
      </c>
      <c r="E49" s="19"/>
      <c r="F49" s="19">
        <v>35540.86</v>
      </c>
    </row>
    <row r="50" spans="2:6" x14ac:dyDescent="0.3">
      <c r="B50" s="22">
        <v>4020</v>
      </c>
      <c r="C50" s="18" t="s">
        <v>56</v>
      </c>
      <c r="D50" s="19">
        <v>52002.33</v>
      </c>
      <c r="E50" s="19"/>
      <c r="F50" s="19">
        <v>52002.33</v>
      </c>
    </row>
    <row r="51" spans="2:6" x14ac:dyDescent="0.3">
      <c r="B51" s="22">
        <v>4026</v>
      </c>
      <c r="C51" s="18" t="s">
        <v>57</v>
      </c>
      <c r="D51" s="19">
        <v>113722</v>
      </c>
      <c r="E51" s="19"/>
      <c r="F51" s="19">
        <v>113722</v>
      </c>
    </row>
    <row r="52" spans="2:6" x14ac:dyDescent="0.3">
      <c r="B52" s="22">
        <v>4031</v>
      </c>
      <c r="C52" s="18" t="s">
        <v>58</v>
      </c>
      <c r="D52" s="19">
        <v>6865</v>
      </c>
      <c r="E52" s="19"/>
      <c r="F52" s="19">
        <v>6865</v>
      </c>
    </row>
    <row r="53" spans="2:6" x14ac:dyDescent="0.3">
      <c r="B53" s="22">
        <v>4032</v>
      </c>
      <c r="C53" s="18" t="s">
        <v>59</v>
      </c>
      <c r="D53" s="19">
        <v>20000</v>
      </c>
      <c r="E53" s="19"/>
      <c r="F53" s="19">
        <v>20000</v>
      </c>
    </row>
    <row r="54" spans="2:6" x14ac:dyDescent="0.3">
      <c r="B54" s="22">
        <v>4033</v>
      </c>
      <c r="C54" s="18" t="s">
        <v>60</v>
      </c>
      <c r="D54" s="19">
        <v>6197</v>
      </c>
      <c r="E54" s="19"/>
      <c r="F54" s="19">
        <v>6197</v>
      </c>
    </row>
    <row r="55" spans="2:6" x14ac:dyDescent="0.3">
      <c r="B55" s="22">
        <v>4035</v>
      </c>
      <c r="C55" s="18" t="s">
        <v>61</v>
      </c>
      <c r="D55" s="19">
        <v>28230.15</v>
      </c>
      <c r="E55" s="19"/>
      <c r="F55" s="19">
        <v>28230.15</v>
      </c>
    </row>
    <row r="56" spans="2:6" x14ac:dyDescent="0.3">
      <c r="B56" s="22">
        <v>4036</v>
      </c>
      <c r="C56" s="18" t="s">
        <v>62</v>
      </c>
      <c r="D56" s="19">
        <v>1490.43</v>
      </c>
      <c r="E56" s="19"/>
      <c r="F56" s="19">
        <v>1490.43</v>
      </c>
    </row>
    <row r="57" spans="2:6" x14ac:dyDescent="0.3">
      <c r="B57" s="22">
        <v>4037</v>
      </c>
      <c r="C57" s="18" t="s">
        <v>63</v>
      </c>
      <c r="D57" s="19">
        <v>12243.91</v>
      </c>
      <c r="E57" s="19"/>
      <c r="F57" s="19">
        <v>12243.91</v>
      </c>
    </row>
    <row r="58" spans="2:6" x14ac:dyDescent="0.3">
      <c r="B58" s="22">
        <v>4038</v>
      </c>
      <c r="C58" s="18" t="s">
        <v>87</v>
      </c>
      <c r="D58" s="19">
        <v>62465.3</v>
      </c>
      <c r="E58" s="19"/>
      <c r="F58" s="19">
        <v>62465.3</v>
      </c>
    </row>
    <row r="59" spans="2:6" x14ac:dyDescent="0.3">
      <c r="B59" s="22">
        <v>4039</v>
      </c>
      <c r="C59" s="18" t="s">
        <v>64</v>
      </c>
      <c r="D59" s="19">
        <v>237490</v>
      </c>
      <c r="E59" s="19"/>
      <c r="F59" s="19">
        <v>237490</v>
      </c>
    </row>
    <row r="60" spans="2:6" x14ac:dyDescent="0.3">
      <c r="B60" s="22">
        <v>4041</v>
      </c>
      <c r="C60" s="18" t="s">
        <v>65</v>
      </c>
      <c r="D60" s="19">
        <v>403.07</v>
      </c>
      <c r="E60" s="19"/>
      <c r="F60" s="19">
        <v>403.07</v>
      </c>
    </row>
    <row r="61" spans="2:6" x14ac:dyDescent="0.3">
      <c r="B61" s="22">
        <v>4042</v>
      </c>
      <c r="C61" s="18" t="s">
        <v>66</v>
      </c>
      <c r="D61" s="19">
        <v>17575.310000000001</v>
      </c>
      <c r="E61" s="19"/>
      <c r="F61" s="19">
        <v>17575.310000000001</v>
      </c>
    </row>
    <row r="62" spans="2:6" x14ac:dyDescent="0.3">
      <c r="B62" s="22">
        <v>4043</v>
      </c>
      <c r="C62" s="18" t="s">
        <v>67</v>
      </c>
      <c r="D62" s="19">
        <v>97639.77</v>
      </c>
      <c r="E62" s="19"/>
      <c r="F62" s="19">
        <v>97639.77</v>
      </c>
    </row>
    <row r="63" spans="2:6" x14ac:dyDescent="0.3">
      <c r="B63" s="22">
        <v>4044</v>
      </c>
      <c r="C63" s="18" t="s">
        <v>68</v>
      </c>
      <c r="D63" s="19">
        <v>60640.26</v>
      </c>
      <c r="E63" s="19"/>
      <c r="F63" s="19">
        <v>60640.26</v>
      </c>
    </row>
    <row r="64" spans="2:6" x14ac:dyDescent="0.3">
      <c r="B64" s="22">
        <v>4045</v>
      </c>
      <c r="C64" s="18" t="s">
        <v>69</v>
      </c>
      <c r="D64" s="19">
        <v>840</v>
      </c>
      <c r="E64" s="19"/>
      <c r="F64" s="19">
        <v>840</v>
      </c>
    </row>
    <row r="65" spans="2:6" x14ac:dyDescent="0.3">
      <c r="B65" s="22">
        <v>4046</v>
      </c>
      <c r="C65" s="18" t="s">
        <v>70</v>
      </c>
      <c r="D65" s="19">
        <v>16372.38</v>
      </c>
      <c r="E65" s="19"/>
      <c r="F65" s="19">
        <v>16372.38</v>
      </c>
    </row>
    <row r="66" spans="2:6" x14ac:dyDescent="0.3">
      <c r="B66" s="22">
        <v>4047</v>
      </c>
      <c r="C66" s="18" t="s">
        <v>71</v>
      </c>
      <c r="D66" s="19">
        <v>4816.91</v>
      </c>
      <c r="E66" s="19"/>
      <c r="F66" s="19">
        <v>4816.91</v>
      </c>
    </row>
    <row r="67" spans="2:6" x14ac:dyDescent="0.3">
      <c r="B67" s="22">
        <v>4051</v>
      </c>
      <c r="C67" s="18" t="s">
        <v>72</v>
      </c>
      <c r="D67" s="19">
        <v>290000</v>
      </c>
      <c r="E67" s="19"/>
      <c r="F67" s="19">
        <v>290000</v>
      </c>
    </row>
    <row r="68" spans="2:6" x14ac:dyDescent="0.3">
      <c r="B68" s="22">
        <v>4053</v>
      </c>
      <c r="C68" s="18" t="s">
        <v>73</v>
      </c>
      <c r="D68" s="19">
        <v>3250</v>
      </c>
      <c r="E68" s="19"/>
      <c r="F68" s="19">
        <v>3250</v>
      </c>
    </row>
    <row r="69" spans="2:6" x14ac:dyDescent="0.3">
      <c r="B69" s="22">
        <v>4054</v>
      </c>
      <c r="C69" s="18" t="s">
        <v>74</v>
      </c>
      <c r="D69" s="19">
        <v>8500</v>
      </c>
      <c r="E69" s="19"/>
      <c r="F69" s="19">
        <v>8500</v>
      </c>
    </row>
    <row r="70" spans="2:6" x14ac:dyDescent="0.3">
      <c r="B70" s="22">
        <v>4055</v>
      </c>
      <c r="C70" s="18" t="s">
        <v>75</v>
      </c>
      <c r="D70" s="19">
        <v>9295</v>
      </c>
      <c r="E70" s="19"/>
      <c r="F70" s="19">
        <v>9295</v>
      </c>
    </row>
    <row r="71" spans="2:6" x14ac:dyDescent="0.3">
      <c r="B71" s="24">
        <v>1715</v>
      </c>
      <c r="C71" s="18" t="s">
        <v>27</v>
      </c>
      <c r="D71" s="19">
        <v>103600.76</v>
      </c>
      <c r="E71" s="19"/>
      <c r="F71" s="19">
        <v>103600.76</v>
      </c>
    </row>
    <row r="72" spans="2:6" x14ac:dyDescent="0.3">
      <c r="B72" s="22">
        <v>4060</v>
      </c>
      <c r="C72" s="18" t="s">
        <v>76</v>
      </c>
      <c r="D72" s="19">
        <v>37544.61</v>
      </c>
      <c r="E72" s="19"/>
      <c r="F72" s="19">
        <v>37544.61</v>
      </c>
    </row>
    <row r="73" spans="2:6" x14ac:dyDescent="0.3">
      <c r="B73" s="22">
        <v>4070</v>
      </c>
      <c r="C73" s="18" t="s">
        <v>77</v>
      </c>
      <c r="D73" s="19">
        <v>96830.8</v>
      </c>
      <c r="E73" s="19"/>
      <c r="F73" s="19">
        <v>96830.8</v>
      </c>
    </row>
    <row r="74" spans="2:6" x14ac:dyDescent="0.3">
      <c r="B74" s="22">
        <v>4080</v>
      </c>
      <c r="C74" s="18" t="s">
        <v>78</v>
      </c>
      <c r="D74" s="19">
        <v>5474.92</v>
      </c>
      <c r="E74" s="19"/>
      <c r="F74" s="19">
        <v>5474.92</v>
      </c>
    </row>
    <row r="75" spans="2:6" x14ac:dyDescent="0.3">
      <c r="B75" s="22">
        <v>4081</v>
      </c>
      <c r="C75" s="18" t="s">
        <v>79</v>
      </c>
      <c r="D75" s="19">
        <v>1699.75</v>
      </c>
      <c r="E75" s="19"/>
      <c r="F75" s="19">
        <v>1699.75</v>
      </c>
    </row>
    <row r="76" spans="2:6" x14ac:dyDescent="0.3">
      <c r="B76" s="22">
        <v>4082</v>
      </c>
      <c r="C76" s="18" t="s">
        <v>80</v>
      </c>
      <c r="D76" s="19">
        <v>4022.95</v>
      </c>
      <c r="E76" s="19"/>
      <c r="F76" s="19">
        <v>4022.95</v>
      </c>
    </row>
    <row r="77" spans="2:6" x14ac:dyDescent="0.3">
      <c r="B77" s="22">
        <v>4090</v>
      </c>
      <c r="C77" s="18" t="s">
        <v>81</v>
      </c>
      <c r="D77" s="19">
        <v>10821.52</v>
      </c>
      <c r="E77" s="19"/>
      <c r="F77" s="19">
        <v>10821.52</v>
      </c>
    </row>
    <row r="78" spans="2:6" x14ac:dyDescent="0.3">
      <c r="B78" s="22">
        <v>4091</v>
      </c>
      <c r="C78" s="18" t="s">
        <v>82</v>
      </c>
      <c r="D78" s="19">
        <v>399.66</v>
      </c>
      <c r="E78" s="19"/>
      <c r="F78" s="19">
        <v>399.66</v>
      </c>
    </row>
    <row r="79" spans="2:6" x14ac:dyDescent="0.3">
      <c r="B79" s="22">
        <v>4092</v>
      </c>
      <c r="C79" s="18" t="s">
        <v>83</v>
      </c>
      <c r="D79" s="19">
        <v>4252.45</v>
      </c>
      <c r="E79" s="19"/>
      <c r="F79" s="19">
        <v>4252.45</v>
      </c>
    </row>
    <row r="80" spans="2:6" x14ac:dyDescent="0.3">
      <c r="B80" s="22">
        <v>4102</v>
      </c>
      <c r="C80" s="18" t="s">
        <v>88</v>
      </c>
      <c r="D80" s="19">
        <v>1267750.57</v>
      </c>
      <c r="E80" s="19"/>
      <c r="F80" s="19">
        <v>1267750.57</v>
      </c>
    </row>
    <row r="81" spans="2:6" x14ac:dyDescent="0.3">
      <c r="B81" s="22">
        <v>4110</v>
      </c>
      <c r="C81" s="18" t="s">
        <v>89</v>
      </c>
      <c r="D81" s="19">
        <v>96947.32</v>
      </c>
      <c r="E81" s="19"/>
      <c r="F81" s="19">
        <v>96947.32</v>
      </c>
    </row>
    <row r="82" spans="2:6" x14ac:dyDescent="0.3">
      <c r="B82" s="22">
        <v>4111</v>
      </c>
      <c r="C82" s="18" t="s">
        <v>90</v>
      </c>
      <c r="D82" s="19">
        <v>13369.37</v>
      </c>
      <c r="E82" s="19"/>
      <c r="F82" s="19">
        <v>13369.37</v>
      </c>
    </row>
    <row r="83" spans="2:6" x14ac:dyDescent="0.3">
      <c r="B83" s="22">
        <v>4130</v>
      </c>
      <c r="C83" s="18" t="s">
        <v>91</v>
      </c>
      <c r="D83" s="19">
        <v>5565.29</v>
      </c>
      <c r="E83" s="19"/>
      <c r="F83" s="19">
        <v>5565.29</v>
      </c>
    </row>
    <row r="84" spans="2:6" x14ac:dyDescent="0.3">
      <c r="B84" s="22">
        <v>4140</v>
      </c>
      <c r="C84" s="18" t="s">
        <v>93</v>
      </c>
      <c r="D84" s="19">
        <v>11301.71</v>
      </c>
      <c r="E84" s="19"/>
      <c r="F84" s="19">
        <v>11301.71</v>
      </c>
    </row>
    <row r="85" spans="2:6" x14ac:dyDescent="0.3">
      <c r="B85" s="22">
        <v>7241</v>
      </c>
      <c r="C85" s="18" t="s">
        <v>92</v>
      </c>
      <c r="D85" s="19">
        <v>3099.98</v>
      </c>
      <c r="E85" s="19"/>
      <c r="F85" s="19">
        <v>3099.98</v>
      </c>
    </row>
    <row r="86" spans="2:6" x14ac:dyDescent="0.3">
      <c r="B86" s="22">
        <v>8000</v>
      </c>
      <c r="C86" s="18" t="s">
        <v>94</v>
      </c>
      <c r="D86" s="19">
        <v>153536.84</v>
      </c>
      <c r="E86" s="19"/>
      <c r="F86" s="19">
        <v>153536.84</v>
      </c>
    </row>
    <row r="87" spans="2:6" x14ac:dyDescent="0.3">
      <c r="B87" s="22">
        <v>8310</v>
      </c>
      <c r="C87" s="18" t="s">
        <v>84</v>
      </c>
      <c r="D87" s="19">
        <v>3621.62</v>
      </c>
      <c r="E87" s="19"/>
      <c r="F87" s="19">
        <v>3621.62</v>
      </c>
    </row>
    <row r="88" spans="2:6" x14ac:dyDescent="0.3">
      <c r="B88" s="22">
        <v>8530</v>
      </c>
      <c r="C88" s="18" t="s">
        <v>85</v>
      </c>
      <c r="D88" s="19">
        <v>5691.01</v>
      </c>
      <c r="E88" s="19"/>
      <c r="F88" s="19">
        <v>5691.01</v>
      </c>
    </row>
    <row r="89" spans="2:6" x14ac:dyDescent="0.3">
      <c r="B89" s="23">
        <v>8540</v>
      </c>
      <c r="C89" s="20" t="s">
        <v>86</v>
      </c>
      <c r="D89" s="21">
        <v>102.2</v>
      </c>
      <c r="E89" s="21"/>
      <c r="F89" s="21">
        <v>102.2</v>
      </c>
    </row>
  </sheetData>
  <autoFilter ref="B11:F89" xr:uid="{1396B2B8-23CA-4E36-9B9F-D4B418DE77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E002-FF7D-4C82-AA4E-C686C3CEC351}">
  <dimension ref="A1:C101"/>
  <sheetViews>
    <sheetView workbookViewId="0">
      <selection activeCell="L16" sqref="L16"/>
    </sheetView>
  </sheetViews>
  <sheetFormatPr defaultRowHeight="14.5" x14ac:dyDescent="0.35"/>
  <cols>
    <col min="1" max="1" width="64.453125" style="1" customWidth="1"/>
    <col min="2" max="3" width="24.90625" style="1" customWidth="1"/>
    <col min="4" max="16384" width="8.7265625" style="1"/>
  </cols>
  <sheetData>
    <row r="1" spans="1:3" ht="18" x14ac:dyDescent="0.4">
      <c r="A1" s="25" t="s">
        <v>0</v>
      </c>
      <c r="B1" s="26"/>
      <c r="C1" s="26"/>
    </row>
    <row r="2" spans="1:3" ht="18" x14ac:dyDescent="0.4">
      <c r="A2" s="25" t="s">
        <v>1</v>
      </c>
      <c r="B2" s="26"/>
      <c r="C2" s="26"/>
    </row>
    <row r="3" spans="1:3" x14ac:dyDescent="0.35">
      <c r="A3" s="27" t="s">
        <v>2</v>
      </c>
      <c r="B3" s="26"/>
      <c r="C3" s="26"/>
    </row>
    <row r="5" spans="1:3" x14ac:dyDescent="0.35">
      <c r="A5" s="2"/>
      <c r="B5" s="3" t="s">
        <v>3</v>
      </c>
      <c r="C5" s="3" t="s">
        <v>4</v>
      </c>
    </row>
    <row r="6" spans="1:3" x14ac:dyDescent="0.35">
      <c r="A6" s="4" t="s">
        <v>5</v>
      </c>
      <c r="B6" s="5">
        <f>2737.22</f>
        <v>2737.22</v>
      </c>
      <c r="C6" s="6"/>
    </row>
    <row r="7" spans="1:3" x14ac:dyDescent="0.35">
      <c r="A7" s="4" t="s">
        <v>6</v>
      </c>
      <c r="B7" s="5">
        <f>694244.66</f>
        <v>694244.66</v>
      </c>
      <c r="C7" s="6"/>
    </row>
    <row r="8" spans="1:3" x14ac:dyDescent="0.35">
      <c r="A8" s="4" t="s">
        <v>7</v>
      </c>
      <c r="B8" s="5">
        <f>598627.72</f>
        <v>598627.72</v>
      </c>
      <c r="C8" s="6"/>
    </row>
    <row r="9" spans="1:3" x14ac:dyDescent="0.35">
      <c r="A9" s="4" t="s">
        <v>8</v>
      </c>
      <c r="B9" s="5">
        <f>5621.87</f>
        <v>5621.87</v>
      </c>
      <c r="C9" s="6"/>
    </row>
    <row r="10" spans="1:3" x14ac:dyDescent="0.35">
      <c r="A10" s="4" t="s">
        <v>9</v>
      </c>
      <c r="B10" s="5">
        <f>0</f>
        <v>0</v>
      </c>
      <c r="C10" s="6"/>
    </row>
    <row r="11" spans="1:3" x14ac:dyDescent="0.35">
      <c r="A11" s="4" t="s">
        <v>10</v>
      </c>
      <c r="B11" s="5">
        <f>0</f>
        <v>0</v>
      </c>
      <c r="C11" s="6"/>
    </row>
    <row r="12" spans="1:3" x14ac:dyDescent="0.35">
      <c r="A12" s="4" t="s">
        <v>11</v>
      </c>
      <c r="B12" s="5">
        <f>526744.74</f>
        <v>526744.74</v>
      </c>
      <c r="C12" s="6"/>
    </row>
    <row r="13" spans="1:3" x14ac:dyDescent="0.35">
      <c r="A13" s="4" t="s">
        <v>12</v>
      </c>
      <c r="B13" s="5">
        <f>339.36</f>
        <v>339.36</v>
      </c>
      <c r="C13" s="6"/>
    </row>
    <row r="14" spans="1:3" x14ac:dyDescent="0.35">
      <c r="A14" s="4" t="s">
        <v>13</v>
      </c>
      <c r="B14" s="5">
        <f>0</f>
        <v>0</v>
      </c>
      <c r="C14" s="6"/>
    </row>
    <row r="15" spans="1:3" x14ac:dyDescent="0.35">
      <c r="A15" s="4" t="s">
        <v>14</v>
      </c>
      <c r="B15" s="5">
        <f>141058.04</f>
        <v>141058.04</v>
      </c>
      <c r="C15" s="6"/>
    </row>
    <row r="16" spans="1:3" x14ac:dyDescent="0.35">
      <c r="A16" s="4" t="s">
        <v>15</v>
      </c>
      <c r="B16" s="5">
        <f>1416.63</f>
        <v>1416.63</v>
      </c>
      <c r="C16" s="6"/>
    </row>
    <row r="17" spans="1:3" x14ac:dyDescent="0.35">
      <c r="A17" s="4" t="s">
        <v>16</v>
      </c>
      <c r="B17" s="5">
        <f>9956.8</f>
        <v>9956.7999999999993</v>
      </c>
      <c r="C17" s="6"/>
    </row>
    <row r="18" spans="1:3" x14ac:dyDescent="0.35">
      <c r="A18" s="4" t="s">
        <v>17</v>
      </c>
      <c r="B18" s="5">
        <f>1116.13</f>
        <v>1116.1300000000001</v>
      </c>
      <c r="C18" s="6"/>
    </row>
    <row r="19" spans="1:3" x14ac:dyDescent="0.35">
      <c r="A19" s="4" t="s">
        <v>18</v>
      </c>
      <c r="B19" s="5">
        <f>0</f>
        <v>0</v>
      </c>
      <c r="C19" s="6"/>
    </row>
    <row r="20" spans="1:3" x14ac:dyDescent="0.35">
      <c r="A20" s="4" t="s">
        <v>19</v>
      </c>
      <c r="B20" s="5">
        <f>0</f>
        <v>0</v>
      </c>
      <c r="C20" s="6"/>
    </row>
    <row r="21" spans="1:3" x14ac:dyDescent="0.35">
      <c r="A21" s="4" t="s">
        <v>20</v>
      </c>
      <c r="B21" s="5">
        <f>58135</f>
        <v>58135</v>
      </c>
      <c r="C21" s="6"/>
    </row>
    <row r="22" spans="1:3" x14ac:dyDescent="0.35">
      <c r="A22" s="4" t="s">
        <v>21</v>
      </c>
      <c r="B22" s="6"/>
      <c r="C22" s="5">
        <f>53568.53</f>
        <v>53568.53</v>
      </c>
    </row>
    <row r="23" spans="1:3" x14ac:dyDescent="0.35">
      <c r="A23" s="4" t="s">
        <v>22</v>
      </c>
      <c r="B23" s="6"/>
      <c r="C23" s="5">
        <f>55223.56</f>
        <v>55223.56</v>
      </c>
    </row>
    <row r="24" spans="1:3" x14ac:dyDescent="0.35">
      <c r="A24" s="4" t="s">
        <v>23</v>
      </c>
      <c r="B24" s="5">
        <f>35796.14</f>
        <v>35796.14</v>
      </c>
      <c r="C24" s="6"/>
    </row>
    <row r="25" spans="1:3" x14ac:dyDescent="0.35">
      <c r="A25" s="4" t="s">
        <v>24</v>
      </c>
      <c r="B25" s="5">
        <f>736611</f>
        <v>736611</v>
      </c>
      <c r="C25" s="6"/>
    </row>
    <row r="26" spans="1:3" x14ac:dyDescent="0.35">
      <c r="A26" s="4" t="s">
        <v>25</v>
      </c>
      <c r="B26" s="5">
        <f>448177</f>
        <v>448177</v>
      </c>
      <c r="C26" s="6"/>
    </row>
    <row r="27" spans="1:3" x14ac:dyDescent="0.35">
      <c r="A27" s="4" t="s">
        <v>26</v>
      </c>
      <c r="B27" s="5">
        <f>2300000</f>
        <v>2300000</v>
      </c>
      <c r="C27" s="6"/>
    </row>
    <row r="28" spans="1:3" x14ac:dyDescent="0.35">
      <c r="A28" s="4" t="s">
        <v>27</v>
      </c>
      <c r="B28" s="5">
        <f>103600.76</f>
        <v>103600.76</v>
      </c>
      <c r="C28" s="6"/>
    </row>
    <row r="29" spans="1:3" x14ac:dyDescent="0.35">
      <c r="A29" s="4" t="s">
        <v>28</v>
      </c>
      <c r="B29" s="5">
        <f>0</f>
        <v>0</v>
      </c>
      <c r="C29" s="6"/>
    </row>
    <row r="30" spans="1:3" x14ac:dyDescent="0.35">
      <c r="A30" s="4" t="s">
        <v>29</v>
      </c>
      <c r="B30" s="6"/>
      <c r="C30" s="5">
        <f>10967.39</f>
        <v>10967.39</v>
      </c>
    </row>
    <row r="31" spans="1:3" x14ac:dyDescent="0.35">
      <c r="A31" s="4" t="s">
        <v>30</v>
      </c>
      <c r="B31" s="6"/>
      <c r="C31" s="5">
        <f>5506.69</f>
        <v>5506.69</v>
      </c>
    </row>
    <row r="32" spans="1:3" x14ac:dyDescent="0.35">
      <c r="A32" s="4" t="s">
        <v>31</v>
      </c>
      <c r="B32" s="6"/>
      <c r="C32" s="5">
        <f>0</f>
        <v>0</v>
      </c>
    </row>
    <row r="33" spans="1:3" x14ac:dyDescent="0.35">
      <c r="A33" s="4" t="s">
        <v>32</v>
      </c>
      <c r="B33" s="6"/>
      <c r="C33" s="5">
        <f>0</f>
        <v>0</v>
      </c>
    </row>
    <row r="34" spans="1:3" x14ac:dyDescent="0.35">
      <c r="A34" s="4" t="s">
        <v>33</v>
      </c>
      <c r="B34" s="6"/>
      <c r="C34" s="5">
        <f>0</f>
        <v>0</v>
      </c>
    </row>
    <row r="35" spans="1:3" x14ac:dyDescent="0.35">
      <c r="A35" s="4" t="s">
        <v>34</v>
      </c>
      <c r="B35" s="6"/>
      <c r="C35" s="5">
        <f>0</f>
        <v>0</v>
      </c>
    </row>
    <row r="36" spans="1:3" x14ac:dyDescent="0.35">
      <c r="A36" s="4" t="s">
        <v>35</v>
      </c>
      <c r="B36" s="6"/>
      <c r="C36" s="5">
        <f>2225.47</f>
        <v>2225.4699999999998</v>
      </c>
    </row>
    <row r="37" spans="1:3" x14ac:dyDescent="0.35">
      <c r="A37" s="4" t="s">
        <v>36</v>
      </c>
      <c r="B37" s="6"/>
      <c r="C37" s="5">
        <f>0</f>
        <v>0</v>
      </c>
    </row>
    <row r="38" spans="1:3" x14ac:dyDescent="0.35">
      <c r="A38" s="4" t="s">
        <v>37</v>
      </c>
      <c r="B38" s="6"/>
      <c r="C38" s="5">
        <f>4810.05</f>
        <v>4810.05</v>
      </c>
    </row>
    <row r="39" spans="1:3" x14ac:dyDescent="0.35">
      <c r="A39" s="4" t="s">
        <v>38</v>
      </c>
      <c r="B39" s="6"/>
      <c r="C39" s="5">
        <f>57312.15</f>
        <v>57312.15</v>
      </c>
    </row>
    <row r="40" spans="1:3" x14ac:dyDescent="0.35">
      <c r="A40" s="4" t="s">
        <v>39</v>
      </c>
      <c r="B40" s="6"/>
      <c r="C40" s="5">
        <f>29892.51</f>
        <v>29892.51</v>
      </c>
    </row>
    <row r="41" spans="1:3" x14ac:dyDescent="0.35">
      <c r="A41" s="4" t="s">
        <v>40</v>
      </c>
      <c r="B41" s="6"/>
      <c r="C41" s="5">
        <f>29694.31</f>
        <v>29694.31</v>
      </c>
    </row>
    <row r="42" spans="1:3" x14ac:dyDescent="0.35">
      <c r="A42" s="4" t="s">
        <v>41</v>
      </c>
      <c r="B42" s="6"/>
      <c r="C42" s="5">
        <f>1860000</f>
        <v>1860000</v>
      </c>
    </row>
    <row r="43" spans="1:3" x14ac:dyDescent="0.35">
      <c r="A43" s="4" t="s">
        <v>42</v>
      </c>
      <c r="B43" s="6"/>
      <c r="C43" s="5">
        <f>0</f>
        <v>0</v>
      </c>
    </row>
    <row r="44" spans="1:3" x14ac:dyDescent="0.35">
      <c r="A44" s="4" t="s">
        <v>43</v>
      </c>
      <c r="B44" s="6"/>
      <c r="C44" s="5">
        <f>2657663.46</f>
        <v>2657663.46</v>
      </c>
    </row>
    <row r="45" spans="1:3" x14ac:dyDescent="0.35">
      <c r="A45" s="4" t="s">
        <v>44</v>
      </c>
      <c r="B45" s="6"/>
      <c r="C45" s="5">
        <f>41182</f>
        <v>41182</v>
      </c>
    </row>
    <row r="46" spans="1:3" x14ac:dyDescent="0.35">
      <c r="A46" s="4" t="s">
        <v>45</v>
      </c>
      <c r="B46" s="6"/>
      <c r="C46" s="5">
        <f>1604445.14</f>
        <v>1604445.14</v>
      </c>
    </row>
    <row r="47" spans="1:3" x14ac:dyDescent="0.35">
      <c r="A47" s="4" t="s">
        <v>46</v>
      </c>
      <c r="B47" s="6"/>
      <c r="C47" s="5">
        <f>947000</f>
        <v>947000</v>
      </c>
    </row>
    <row r="48" spans="1:3" x14ac:dyDescent="0.35">
      <c r="A48" s="4" t="s">
        <v>47</v>
      </c>
      <c r="B48" s="6"/>
      <c r="C48" s="5">
        <f>1110245.54</f>
        <v>1110245.54</v>
      </c>
    </row>
    <row r="49" spans="1:3" x14ac:dyDescent="0.35">
      <c r="A49" s="4" t="s">
        <v>48</v>
      </c>
      <c r="B49" s="6"/>
      <c r="C49" s="5">
        <f>3802.5</f>
        <v>3802.5</v>
      </c>
    </row>
    <row r="50" spans="1:3" x14ac:dyDescent="0.35">
      <c r="A50" s="4" t="s">
        <v>49</v>
      </c>
      <c r="B50" s="6"/>
      <c r="C50" s="5">
        <f>1150</f>
        <v>1150</v>
      </c>
    </row>
    <row r="51" spans="1:3" x14ac:dyDescent="0.35">
      <c r="A51" s="4" t="s">
        <v>50</v>
      </c>
      <c r="B51" s="6"/>
      <c r="C51" s="5">
        <f>23869.66</f>
        <v>23869.66</v>
      </c>
    </row>
    <row r="52" spans="1:3" x14ac:dyDescent="0.35">
      <c r="A52" s="4" t="s">
        <v>51</v>
      </c>
      <c r="B52" s="6"/>
      <c r="C52" s="5">
        <f>48000</f>
        <v>48000</v>
      </c>
    </row>
    <row r="53" spans="1:3" x14ac:dyDescent="0.35">
      <c r="A53" s="4" t="s">
        <v>52</v>
      </c>
      <c r="B53" s="6"/>
      <c r="C53" s="5">
        <f>4248.77</f>
        <v>4248.7700000000004</v>
      </c>
    </row>
    <row r="54" spans="1:3" x14ac:dyDescent="0.35">
      <c r="A54" s="4" t="s">
        <v>53</v>
      </c>
      <c r="B54" s="6"/>
      <c r="C54" s="5">
        <f>5000</f>
        <v>5000</v>
      </c>
    </row>
    <row r="55" spans="1:3" x14ac:dyDescent="0.35">
      <c r="A55" s="4" t="s">
        <v>54</v>
      </c>
      <c r="B55" s="5">
        <f>84012.41</f>
        <v>84012.41</v>
      </c>
      <c r="C55" s="6"/>
    </row>
    <row r="56" spans="1:3" x14ac:dyDescent="0.35">
      <c r="A56" s="4" t="s">
        <v>55</v>
      </c>
      <c r="B56" s="5">
        <f>35540.86</f>
        <v>35540.86</v>
      </c>
      <c r="C56" s="6"/>
    </row>
    <row r="57" spans="1:3" x14ac:dyDescent="0.35">
      <c r="A57" s="4" t="s">
        <v>56</v>
      </c>
      <c r="B57" s="5">
        <f>52002.33</f>
        <v>52002.33</v>
      </c>
      <c r="C57" s="6"/>
    </row>
    <row r="58" spans="1:3" x14ac:dyDescent="0.35">
      <c r="A58" s="4" t="s">
        <v>57</v>
      </c>
      <c r="B58" s="5">
        <f>113722</f>
        <v>113722</v>
      </c>
      <c r="C58" s="6"/>
    </row>
    <row r="59" spans="1:3" x14ac:dyDescent="0.35">
      <c r="A59" s="4" t="s">
        <v>58</v>
      </c>
      <c r="B59" s="5">
        <f>6865</f>
        <v>6865</v>
      </c>
      <c r="C59" s="6"/>
    </row>
    <row r="60" spans="1:3" x14ac:dyDescent="0.35">
      <c r="A60" s="4" t="s">
        <v>59</v>
      </c>
      <c r="B60" s="5">
        <f>20000</f>
        <v>20000</v>
      </c>
      <c r="C60" s="6"/>
    </row>
    <row r="61" spans="1:3" x14ac:dyDescent="0.35">
      <c r="A61" s="4" t="s">
        <v>60</v>
      </c>
      <c r="B61" s="5">
        <f>6197</f>
        <v>6197</v>
      </c>
      <c r="C61" s="6"/>
    </row>
    <row r="62" spans="1:3" x14ac:dyDescent="0.35">
      <c r="A62" s="4" t="s">
        <v>61</v>
      </c>
      <c r="B62" s="5">
        <f>28230.15</f>
        <v>28230.15</v>
      </c>
      <c r="C62" s="6"/>
    </row>
    <row r="63" spans="1:3" x14ac:dyDescent="0.35">
      <c r="A63" s="4" t="s">
        <v>62</v>
      </c>
      <c r="B63" s="5">
        <f>1490.43</f>
        <v>1490.43</v>
      </c>
      <c r="C63" s="6"/>
    </row>
    <row r="64" spans="1:3" x14ac:dyDescent="0.35">
      <c r="A64" s="4" t="s">
        <v>63</v>
      </c>
      <c r="B64" s="5">
        <f>12243.91</f>
        <v>12243.91</v>
      </c>
      <c r="C64" s="6"/>
    </row>
    <row r="65" spans="1:3" x14ac:dyDescent="0.35">
      <c r="A65" s="4" t="s">
        <v>64</v>
      </c>
      <c r="B65" s="5">
        <f>237490</f>
        <v>237490</v>
      </c>
      <c r="C65" s="6"/>
    </row>
    <row r="66" spans="1:3" x14ac:dyDescent="0.35">
      <c r="A66" s="4" t="s">
        <v>65</v>
      </c>
      <c r="B66" s="5">
        <f>403.07</f>
        <v>403.07</v>
      </c>
      <c r="C66" s="6"/>
    </row>
    <row r="67" spans="1:3" x14ac:dyDescent="0.35">
      <c r="A67" s="4" t="s">
        <v>66</v>
      </c>
      <c r="B67" s="5">
        <f>17575.31</f>
        <v>17575.310000000001</v>
      </c>
      <c r="C67" s="6"/>
    </row>
    <row r="68" spans="1:3" x14ac:dyDescent="0.35">
      <c r="A68" s="4" t="s">
        <v>67</v>
      </c>
      <c r="B68" s="5">
        <f>97639.77</f>
        <v>97639.77</v>
      </c>
      <c r="C68" s="6"/>
    </row>
    <row r="69" spans="1:3" x14ac:dyDescent="0.35">
      <c r="A69" s="4" t="s">
        <v>68</v>
      </c>
      <c r="B69" s="5">
        <f>60640.26</f>
        <v>60640.26</v>
      </c>
      <c r="C69" s="6"/>
    </row>
    <row r="70" spans="1:3" x14ac:dyDescent="0.35">
      <c r="A70" s="4" t="s">
        <v>69</v>
      </c>
      <c r="B70" s="5">
        <f>840</f>
        <v>840</v>
      </c>
      <c r="C70" s="6"/>
    </row>
    <row r="71" spans="1:3" x14ac:dyDescent="0.35">
      <c r="A71" s="4" t="s">
        <v>70</v>
      </c>
      <c r="B71" s="5">
        <f>16372.38</f>
        <v>16372.38</v>
      </c>
      <c r="C71" s="6"/>
    </row>
    <row r="72" spans="1:3" x14ac:dyDescent="0.35">
      <c r="A72" s="4" t="s">
        <v>71</v>
      </c>
      <c r="B72" s="5">
        <f>4816.91</f>
        <v>4816.91</v>
      </c>
      <c r="C72" s="6"/>
    </row>
    <row r="73" spans="1:3" x14ac:dyDescent="0.35">
      <c r="A73" s="4" t="s">
        <v>72</v>
      </c>
      <c r="B73" s="5">
        <f>290000</f>
        <v>290000</v>
      </c>
      <c r="C73" s="6"/>
    </row>
    <row r="74" spans="1:3" x14ac:dyDescent="0.35">
      <c r="A74" s="4" t="s">
        <v>73</v>
      </c>
      <c r="B74" s="5">
        <f>3250</f>
        <v>3250</v>
      </c>
      <c r="C74" s="6"/>
    </row>
    <row r="75" spans="1:3" x14ac:dyDescent="0.35">
      <c r="A75" s="4" t="s">
        <v>74</v>
      </c>
      <c r="B75" s="5">
        <f>8500</f>
        <v>8500</v>
      </c>
      <c r="C75" s="6"/>
    </row>
    <row r="76" spans="1:3" x14ac:dyDescent="0.35">
      <c r="A76" s="4" t="s">
        <v>75</v>
      </c>
      <c r="B76" s="5">
        <f>9295</f>
        <v>9295</v>
      </c>
      <c r="C76" s="6"/>
    </row>
    <row r="77" spans="1:3" x14ac:dyDescent="0.35">
      <c r="A77" s="4" t="s">
        <v>76</v>
      </c>
      <c r="B77" s="5">
        <f>37544.61</f>
        <v>37544.61</v>
      </c>
      <c r="C77" s="6"/>
    </row>
    <row r="78" spans="1:3" x14ac:dyDescent="0.35">
      <c r="A78" s="4" t="s">
        <v>77</v>
      </c>
      <c r="B78" s="5">
        <f>96830.8</f>
        <v>96830.8</v>
      </c>
      <c r="C78" s="6"/>
    </row>
    <row r="79" spans="1:3" x14ac:dyDescent="0.35">
      <c r="A79" s="4" t="s">
        <v>78</v>
      </c>
      <c r="B79" s="5">
        <f>5474.92</f>
        <v>5474.92</v>
      </c>
      <c r="C79" s="6"/>
    </row>
    <row r="80" spans="1:3" x14ac:dyDescent="0.35">
      <c r="A80" s="4" t="s">
        <v>79</v>
      </c>
      <c r="B80" s="5">
        <f>1699.75</f>
        <v>1699.75</v>
      </c>
      <c r="C80" s="6"/>
    </row>
    <row r="81" spans="1:3" x14ac:dyDescent="0.35">
      <c r="A81" s="4" t="s">
        <v>80</v>
      </c>
      <c r="B81" s="5">
        <f>4022.95</f>
        <v>4022.95</v>
      </c>
      <c r="C81" s="6"/>
    </row>
    <row r="82" spans="1:3" x14ac:dyDescent="0.35">
      <c r="A82" s="4" t="s">
        <v>81</v>
      </c>
      <c r="B82" s="5">
        <f>10821.52</f>
        <v>10821.52</v>
      </c>
      <c r="C82" s="6"/>
    </row>
    <row r="83" spans="1:3" x14ac:dyDescent="0.35">
      <c r="A83" s="4" t="s">
        <v>82</v>
      </c>
      <c r="B83" s="5">
        <f>399.66</f>
        <v>399.66</v>
      </c>
      <c r="C83" s="6"/>
    </row>
    <row r="84" spans="1:3" x14ac:dyDescent="0.35">
      <c r="A84" s="4" t="s">
        <v>83</v>
      </c>
      <c r="B84" s="5">
        <f>4252.45</f>
        <v>4252.45</v>
      </c>
      <c r="C84" s="6"/>
    </row>
    <row r="85" spans="1:3" x14ac:dyDescent="0.35">
      <c r="A85" s="4" t="s">
        <v>84</v>
      </c>
      <c r="B85" s="5">
        <f>3621.62</f>
        <v>3621.62</v>
      </c>
      <c r="C85" s="6"/>
    </row>
    <row r="86" spans="1:3" x14ac:dyDescent="0.35">
      <c r="A86" s="4" t="s">
        <v>85</v>
      </c>
      <c r="B86" s="5">
        <f>5691.01</f>
        <v>5691.01</v>
      </c>
      <c r="C86" s="6"/>
    </row>
    <row r="87" spans="1:3" x14ac:dyDescent="0.35">
      <c r="A87" s="4" t="s">
        <v>86</v>
      </c>
      <c r="B87" s="5">
        <f>102.2</f>
        <v>102.2</v>
      </c>
      <c r="C87" s="6"/>
    </row>
    <row r="88" spans="1:3" x14ac:dyDescent="0.35">
      <c r="A88" s="4" t="s">
        <v>87</v>
      </c>
      <c r="B88" s="5">
        <f>62465.3</f>
        <v>62465.3</v>
      </c>
      <c r="C88" s="6"/>
    </row>
    <row r="89" spans="1:3" x14ac:dyDescent="0.35">
      <c r="A89" s="4" t="s">
        <v>88</v>
      </c>
      <c r="B89" s="5">
        <f>1267750.57</f>
        <v>1267750.57</v>
      </c>
      <c r="C89" s="6"/>
    </row>
    <row r="90" spans="1:3" x14ac:dyDescent="0.35">
      <c r="A90" s="4" t="s">
        <v>89</v>
      </c>
      <c r="B90" s="5">
        <f>96947.32</f>
        <v>96947.32</v>
      </c>
      <c r="C90" s="6"/>
    </row>
    <row r="91" spans="1:3" x14ac:dyDescent="0.35">
      <c r="A91" s="4" t="s">
        <v>90</v>
      </c>
      <c r="B91" s="5">
        <f>13369.37</f>
        <v>13369.37</v>
      </c>
      <c r="C91" s="6"/>
    </row>
    <row r="92" spans="1:3" x14ac:dyDescent="0.35">
      <c r="A92" s="4" t="s">
        <v>91</v>
      </c>
      <c r="B92" s="5">
        <f>5565.29</f>
        <v>5565.29</v>
      </c>
      <c r="C92" s="6"/>
    </row>
    <row r="93" spans="1:3" x14ac:dyDescent="0.35">
      <c r="A93" s="4" t="s">
        <v>92</v>
      </c>
      <c r="B93" s="5">
        <f>3099.98</f>
        <v>3099.98</v>
      </c>
      <c r="C93" s="6"/>
    </row>
    <row r="94" spans="1:3" x14ac:dyDescent="0.35">
      <c r="A94" s="4" t="s">
        <v>93</v>
      </c>
      <c r="B94" s="5">
        <f>11301.71</f>
        <v>11301.71</v>
      </c>
      <c r="C94" s="6"/>
    </row>
    <row r="95" spans="1:3" x14ac:dyDescent="0.35">
      <c r="A95" s="4" t="s">
        <v>94</v>
      </c>
      <c r="B95" s="5">
        <f>153536.84</f>
        <v>153536.84</v>
      </c>
      <c r="C95" s="6"/>
    </row>
    <row r="96" spans="1:3" x14ac:dyDescent="0.35">
      <c r="A96" s="4" t="s">
        <v>95</v>
      </c>
      <c r="B96" s="5">
        <f>0</f>
        <v>0</v>
      </c>
      <c r="C96" s="6"/>
    </row>
    <row r="97" spans="1:3" x14ac:dyDescent="0.35">
      <c r="A97" s="4" t="s">
        <v>96</v>
      </c>
      <c r="B97" s="7">
        <f>(((((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)+(B92))+(B93))+(B94))+(B95))+(B96)</f>
        <v>8555807.7300000023</v>
      </c>
      <c r="C97" s="7">
        <f>(((((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)+(C92))+(C93))+(C94))+(C95))+(C96)</f>
        <v>8555807.7300000004</v>
      </c>
    </row>
    <row r="98" spans="1:3" x14ac:dyDescent="0.35">
      <c r="A98" s="4"/>
      <c r="B98" s="6"/>
      <c r="C98" s="6"/>
    </row>
    <row r="101" spans="1:3" x14ac:dyDescent="0.35">
      <c r="A101" s="28" t="s">
        <v>97</v>
      </c>
      <c r="B101" s="26"/>
      <c r="C101" s="26"/>
    </row>
  </sheetData>
  <mergeCells count="4">
    <mergeCell ref="A1:C1"/>
    <mergeCell ref="A2:C2"/>
    <mergeCell ref="A3:C3"/>
    <mergeCell ref="A101:C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 Formatted</vt:lpstr>
      <vt:lpstr>Trial Balance_PBC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Saini</dc:creator>
  <cp:lastModifiedBy>Copilot  Audit</cp:lastModifiedBy>
  <dcterms:created xsi:type="dcterms:W3CDTF">2024-10-22T05:39:05Z</dcterms:created>
  <dcterms:modified xsi:type="dcterms:W3CDTF">2024-10-29T10:40:40Z</dcterms:modified>
</cp:coreProperties>
</file>