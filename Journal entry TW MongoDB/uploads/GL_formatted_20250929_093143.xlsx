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46" documentId="13_ncr:1_{A210102B-2255-4E62-AE17-0A0FE3449CAE}" xr6:coauthVersionLast="47" xr6:coauthVersionMax="47" xr10:uidLastSave="{5F1E9551-CE92-434E-B571-334411580791}"/>
  <bookViews>
    <workbookView xWindow="-120" yWindow="-120" windowWidth="29040" windowHeight="15720" xr2:uid="{00000000-000D-0000-FFFF-FFFF00000000}"/>
  </bookViews>
  <sheets>
    <sheet name="population" sheetId="8" r:id="rId1"/>
    <sheet name="Samples 2 (2)" sheetId="9" state="hidden" r:id="rId2"/>
  </sheets>
  <definedNames>
    <definedName name="_xlnm._FilterDatabase" localSheetId="0" hidden="1">population!$A$1:$J$224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8" l="1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L52" i="9"/>
  <c r="L51" i="9"/>
  <c r="L50" i="9"/>
  <c r="L49" i="9"/>
  <c r="L48" i="9"/>
  <c r="L47" i="9"/>
  <c r="L46" i="9"/>
  <c r="E46" i="9"/>
  <c r="E47" i="9" s="1"/>
  <c r="E48" i="9" s="1"/>
  <c r="E49" i="9" s="1"/>
  <c r="E50" i="9" s="1"/>
  <c r="E51" i="9" s="1"/>
  <c r="E52" i="9" s="1"/>
  <c r="L45" i="9"/>
  <c r="L43" i="9"/>
  <c r="L42" i="9"/>
  <c r="L41" i="9"/>
  <c r="E41" i="9"/>
  <c r="E42" i="9" s="1"/>
  <c r="E43" i="9" s="1"/>
  <c r="L40" i="9"/>
  <c r="L38" i="9"/>
  <c r="E38" i="9"/>
  <c r="L37" i="9"/>
  <c r="L35" i="9"/>
  <c r="L34" i="9"/>
  <c r="L32" i="9"/>
  <c r="E32" i="9"/>
  <c r="L31" i="9"/>
  <c r="L29" i="9"/>
  <c r="E29" i="9"/>
  <c r="L28" i="9"/>
  <c r="L26" i="9"/>
  <c r="L25" i="9"/>
  <c r="L24" i="9"/>
  <c r="L23" i="9"/>
  <c r="L20" i="9"/>
  <c r="E20" i="9"/>
  <c r="L19" i="9"/>
  <c r="L16" i="9"/>
  <c r="E16" i="9"/>
  <c r="L15" i="9"/>
  <c r="L12" i="9"/>
  <c r="L11" i="9"/>
</calcChain>
</file>

<file path=xl/sharedStrings.xml><?xml version="1.0" encoding="utf-8"?>
<sst xmlns="http://schemas.openxmlformats.org/spreadsheetml/2006/main" count="801" uniqueCount="186">
  <si>
    <t>Credit</t>
  </si>
  <si>
    <t>Debit</t>
  </si>
  <si>
    <t>Please provide following documents for the samples:</t>
  </si>
  <si>
    <t xml:space="preserve">Evidence of approval of the Journal entries (manual/system)
</t>
  </si>
  <si>
    <t>Date</t>
  </si>
  <si>
    <t>Memo</t>
  </si>
  <si>
    <t>Account Code</t>
  </si>
  <si>
    <t>Num</t>
  </si>
  <si>
    <t xml:space="preserve">Name of the client: </t>
  </si>
  <si>
    <t>Work paper:</t>
  </si>
  <si>
    <t>Samples for Journal Entry Testwork</t>
  </si>
  <si>
    <t>Financial year end:</t>
  </si>
  <si>
    <t>Sr#</t>
  </si>
  <si>
    <t>Name</t>
  </si>
  <si>
    <t>San Ildefonso Housing Authority</t>
  </si>
  <si>
    <t>Transaction</t>
  </si>
  <si>
    <t>Account Description</t>
  </si>
  <si>
    <t>Amount</t>
  </si>
  <si>
    <t>Journal Entry</t>
  </si>
  <si>
    <t>IHBG Draw</t>
  </si>
  <si>
    <t xml:space="preserve">Checking Main 1100.00 </t>
  </si>
  <si>
    <t>4112.00  Federal Programs               Revenue:IHBG Revenue</t>
  </si>
  <si>
    <t>4112.00  Federal Programs Revenue:IHBG Revenue</t>
  </si>
  <si>
    <t>IHBG income</t>
  </si>
  <si>
    <t>1130.01  Accounts Receivable (A/R):Due  from IHBG</t>
  </si>
  <si>
    <t>Home Imprvmnt</t>
  </si>
  <si>
    <t>4120.03 Federal Programs                Revenue:SIHA ARPA Fund</t>
  </si>
  <si>
    <t>Home Imrpvmnt</t>
  </si>
  <si>
    <t>1145.01 Accounts Receivable (A/R):Due   from 2021 ARPA</t>
  </si>
  <si>
    <t>4112.00 Federal Programs                Revenue:IHBG Revenue</t>
  </si>
  <si>
    <t>Adjust and correct GL balances for Aug 2023 transactions caused by QB double entry issues</t>
  </si>
  <si>
    <t>Checking Main dont use</t>
  </si>
  <si>
    <t>4120.04 Federal Programs Revenue:BIA    ARPA - Housing Rehab</t>
  </si>
  <si>
    <t>To correct and adjust GL account caused by QB issues</t>
  </si>
  <si>
    <t>3000.01 Opening Balance Equity</t>
  </si>
  <si>
    <t>accure revenue 2023</t>
  </si>
  <si>
    <t>2230 Capital Accounts:Unearned          Revenue - Tribal ARPA</t>
  </si>
  <si>
    <t>4120.02 Federal Programs                Revenue:Tribal Infrastructure Fund</t>
  </si>
  <si>
    <t>reverse rev accural JE 170/175</t>
  </si>
  <si>
    <t>Accrue Rev 12312023</t>
  </si>
  <si>
    <t>4120.03 Federal Programs                1136.00  Accounts Receivable San I</t>
  </si>
  <si>
    <t>1136.00  Accounts Receivable San I      ARPA</t>
  </si>
  <si>
    <t>Reclass Rev</t>
  </si>
  <si>
    <t>4120.02  Federal Programs               Revenue:Tribal Infrastructure Fund</t>
  </si>
  <si>
    <t>4120.03  Federal Programs               Revenue:SIHA ARPA Fund</t>
  </si>
  <si>
    <t>4120.04  Federal Programs Revenue:BIA   ARPA - Housing Rehab</t>
  </si>
  <si>
    <t>4150.00  Local Revenue                  4150.00  Local Revenue</t>
  </si>
  <si>
    <t>4150.00  Local Revenue                  Checking Main dont use</t>
  </si>
  <si>
    <t>Checking Main dont use                  5100.00  Office Expenses</t>
  </si>
  <si>
    <t>5100.00  Office Expenses</t>
  </si>
  <si>
    <t>reverse JE 183</t>
  </si>
  <si>
    <t>1130.01 Accounts Receivable (A/R):Due   from IHBG</t>
  </si>
  <si>
    <t>payroll spread</t>
  </si>
  <si>
    <t>2120.00 Salaries &amp; Wages Payable</t>
  </si>
  <si>
    <t>ER FICA/Medicare Liability</t>
  </si>
  <si>
    <t>ER Unemployment Liability</t>
  </si>
  <si>
    <t>2125.00 Payroll Tax Payable</t>
  </si>
  <si>
    <t>Other supporting/working available in supprt of the Journal Entry</t>
  </si>
  <si>
    <t>Transaction No.</t>
  </si>
  <si>
    <t xml:space="preserve">LINE DESCRIPTION </t>
  </si>
  <si>
    <t>DISTRIBUTION ACCOUNT NUMBER</t>
  </si>
  <si>
    <t>ACCOUNT FULL NAME</t>
  </si>
  <si>
    <r>
      <rPr>
        <sz val="11"/>
        <rFont val="Calibri"/>
        <family val="2"/>
        <scheme val="minor"/>
      </rPr>
      <t>Journal Entry</t>
    </r>
  </si>
  <si>
    <t xml:space="preserve">payroll spread </t>
  </si>
  <si>
    <t>5020.00 Payroll Expenses:5000.00 Salaries &amp; Wages:5000.02 Payroll CFO</t>
  </si>
  <si>
    <t>5000.02  5020.00 Payroll Expenses:5000.00 Salaries &amp; Wages:5000.02 Payroll CFO</t>
  </si>
  <si>
    <r>
      <rPr>
        <sz val="11"/>
        <rFont val="Calibri"/>
        <family val="2"/>
        <scheme val="minor"/>
      </rPr>
      <t>306R</t>
    </r>
  </si>
  <si>
    <r>
      <rPr>
        <sz val="11"/>
        <rFont val="Calibri"/>
        <family val="2"/>
        <scheme val="minor"/>
      </rPr>
      <t>332R</t>
    </r>
  </si>
  <si>
    <t xml:space="preserve">2023 Accrued Wages  </t>
  </si>
  <si>
    <t>5020.00 Payroll Expenses:5000.00 Salaries &amp; Wages</t>
  </si>
  <si>
    <t>5020.00 Payroll Expenses:5020.03 FICA tax</t>
  </si>
  <si>
    <t>5020.00 Payroll Expenses:5020.04 State Unemployment Tax</t>
  </si>
  <si>
    <t xml:space="preserve">ER W/C Liability  </t>
  </si>
  <si>
    <t>5020.00 Payroll Expenses:5020.07 Workers' Compensation Insurance</t>
  </si>
  <si>
    <t xml:space="preserve">2023 Accured Payroll  </t>
  </si>
  <si>
    <t xml:space="preserve">payroll spread  </t>
  </si>
  <si>
    <r>
      <rPr>
        <sz val="11"/>
        <rFont val="Calibri"/>
        <family val="2"/>
        <scheme val="minor"/>
      </rPr>
      <t>307R</t>
    </r>
  </si>
  <si>
    <t>5020.00 Payroll Expenses:5000.00 Salaries &amp; Wages:5000.02</t>
  </si>
  <si>
    <r>
      <rPr>
        <sz val="11"/>
        <rFont val="Calibri"/>
        <family val="2"/>
        <scheme val="minor"/>
      </rPr>
      <t>payroll spread</t>
    </r>
  </si>
  <si>
    <r>
      <rPr>
        <sz val="11"/>
        <rFont val="Calibri"/>
        <family val="2"/>
        <scheme val="minor"/>
      </rPr>
      <t>308R</t>
    </r>
  </si>
  <si>
    <r>
      <rPr>
        <sz val="11"/>
        <rFont val="Calibri"/>
        <family val="2"/>
        <scheme val="minor"/>
      </rPr>
      <t>5020.00 Payroll Expenses:5000.00 Salaries &amp; Wages:5000.02</t>
    </r>
    <r>
      <rPr>
        <sz val="11"/>
        <color rgb="FF000000"/>
        <rFont val="Calibri"/>
        <family val="2"/>
        <scheme val="minor"/>
      </rPr>
      <t xml:space="preserve"> Payroll CFO</t>
    </r>
  </si>
  <si>
    <r>
      <rPr>
        <sz val="11"/>
        <rFont val="Calibri"/>
        <family val="2"/>
        <scheme val="minor"/>
      </rPr>
      <t>309R</t>
    </r>
  </si>
  <si>
    <r>
      <rPr>
        <sz val="11"/>
        <rFont val="Calibri"/>
        <family val="2"/>
        <scheme val="minor"/>
      </rPr>
      <t>311R</t>
    </r>
  </si>
  <si>
    <r>
      <rPr>
        <sz val="11"/>
        <rFont val="Calibri"/>
        <family val="2"/>
        <scheme val="minor"/>
      </rPr>
      <t>312R</t>
    </r>
  </si>
  <si>
    <r>
      <rPr>
        <sz val="11"/>
        <rFont val="Calibri"/>
        <family val="2"/>
        <scheme val="minor"/>
      </rPr>
      <t>313R</t>
    </r>
  </si>
  <si>
    <r>
      <rPr>
        <sz val="11"/>
        <rFont val="Calibri"/>
        <family val="2"/>
        <scheme val="minor"/>
      </rPr>
      <t>330R</t>
    </r>
  </si>
  <si>
    <t xml:space="preserve">Allocate 2024 Wages and Benefits to Class </t>
  </si>
  <si>
    <t>5020.00 Payroll Expenses:5000.00 Salaries &amp; Wages:5000.03 Payroll Housing Manager</t>
  </si>
  <si>
    <t xml:space="preserve"> 5020.00 Payroll Expenses:5020.10 Taxes</t>
  </si>
  <si>
    <t>5020.00 Payroll Expenses:5000.00 Salaries &amp; Wages:5000.04 Payroll - Building Services Mgr.</t>
  </si>
  <si>
    <t>5020.00 Payroll Expenses:5020.10 Taxes</t>
  </si>
  <si>
    <r>
      <rPr>
        <sz val="11"/>
        <rFont val="Calibri"/>
        <family val="2"/>
        <scheme val="minor"/>
      </rPr>
      <t>5020.00 Payroll Expenses:5000.00 Salaries &amp; Wages:5000.05</t>
    </r>
    <r>
      <rPr>
        <sz val="11"/>
        <color rgb="FF000000"/>
        <rFont val="Calibri"/>
        <family val="2"/>
        <scheme val="minor"/>
      </rPr>
      <t xml:space="preserve"> Payroll Executive Director</t>
    </r>
  </si>
  <si>
    <r>
      <rPr>
        <sz val="11"/>
        <rFont val="Calibri"/>
        <family val="2"/>
        <scheme val="minor"/>
      </rPr>
      <t>Allocate 2024 Wages and</t>
    </r>
  </si>
  <si>
    <r>
      <rPr>
        <sz val="11"/>
        <rFont val="Calibri"/>
        <family val="2"/>
        <scheme val="minor"/>
      </rPr>
      <t>5020.00 Payroll Expenses:5000.00 Salaries &amp; Wages:5000.05</t>
    </r>
  </si>
  <si>
    <r>
      <rPr>
        <sz val="11"/>
        <rFont val="Calibri"/>
        <family val="2"/>
        <scheme val="minor"/>
      </rPr>
      <t>5020.00 Payroll Expenses:5020.10 Taxes</t>
    </r>
  </si>
  <si>
    <r>
      <rPr>
        <sz val="11"/>
        <rFont val="Calibri"/>
        <family val="2"/>
        <scheme val="minor"/>
      </rPr>
      <t>4130.00 Housing Income:4134.00 HO Black Mesa Income</t>
    </r>
  </si>
  <si>
    <r>
      <rPr>
        <sz val="11"/>
        <rFont val="Calibri"/>
        <family val="2"/>
        <scheme val="minor"/>
      </rPr>
      <t>Expense AMERIND</t>
    </r>
    <r>
      <rPr>
        <sz val="11"/>
        <color rgb="FF000000"/>
        <rFont val="Calibri"/>
        <family val="2"/>
        <scheme val="minor"/>
      </rPr>
      <t xml:space="preserve"> Insurance Exp for 2024</t>
    </r>
  </si>
  <si>
    <r>
      <rPr>
        <sz val="11"/>
        <rFont val="Calibri"/>
        <family val="2"/>
        <scheme val="minor"/>
      </rPr>
      <t>5220.00 Insurance:5220.03 Property insurance</t>
    </r>
  </si>
  <si>
    <r>
      <rPr>
        <sz val="11"/>
        <rFont val="Calibri"/>
        <family val="2"/>
        <scheme val="minor"/>
      </rPr>
      <t>Expense AMERIND</t>
    </r>
  </si>
  <si>
    <r>
      <rPr>
        <sz val="11"/>
        <rFont val="Calibri"/>
        <family val="2"/>
        <scheme val="minor"/>
      </rPr>
      <t>1200.00 Prepaid expenses</t>
    </r>
  </si>
  <si>
    <r>
      <rPr>
        <sz val="11"/>
        <rFont val="Calibri"/>
        <family val="2"/>
        <scheme val="minor"/>
      </rPr>
      <t>2025 AMERIND Insurance</t>
    </r>
  </si>
  <si>
    <r>
      <rPr>
        <sz val="11"/>
        <rFont val="Calibri"/>
        <family val="2"/>
        <scheme val="minor"/>
      </rPr>
      <t>2025 Progressive Insurance</t>
    </r>
  </si>
  <si>
    <r>
      <rPr>
        <sz val="11"/>
        <rFont val="Calibri"/>
        <family val="2"/>
        <scheme val="minor"/>
      </rPr>
      <t>5220.00 Insurance:5220.01 Auto Insurance</t>
    </r>
  </si>
  <si>
    <r>
      <rPr>
        <sz val="11"/>
        <rFont val="Calibri"/>
        <family val="2"/>
        <scheme val="minor"/>
      </rPr>
      <t>4000.00 Federal Programs Revenue:4112.00 IHBG Revenue</t>
    </r>
  </si>
  <si>
    <r>
      <rPr>
        <sz val="11"/>
        <rFont val="Calibri"/>
        <family val="2"/>
        <scheme val="minor"/>
      </rPr>
      <t>1130 Grants Receivable:1135.00 Grants Receivable IHBG ARPA</t>
    </r>
  </si>
  <si>
    <r>
      <rPr>
        <sz val="11"/>
        <rFont val="Calibri"/>
        <family val="2"/>
        <scheme val="minor"/>
      </rPr>
      <t>4000.00 Federal Programs Revenue:4118.00 IHBG ARPA Revenue</t>
    </r>
  </si>
  <si>
    <r>
      <rPr>
        <sz val="11"/>
        <rFont val="Calibri"/>
        <family val="2"/>
        <scheme val="minor"/>
      </rPr>
      <t>1130 Grants Receivable:1130.01 Grants Receivable IHBG</t>
    </r>
  </si>
  <si>
    <t>Reclass A/R to Enterprise A/R</t>
  </si>
  <si>
    <r>
      <rPr>
        <sz val="11"/>
        <rFont val="Calibri"/>
        <family val="2"/>
        <scheme val="minor"/>
      </rPr>
      <t>2125.00 Payroll Tax Payable:2125.06 Payroll Taxes</t>
    </r>
  </si>
  <si>
    <r>
      <rPr>
        <sz val="11"/>
        <rFont val="Calibri"/>
        <family val="2"/>
        <scheme val="minor"/>
      </rPr>
      <t>5020.00 Payroll Expenses</t>
    </r>
  </si>
  <si>
    <r>
      <rPr>
        <sz val="11"/>
        <rFont val="Calibri"/>
        <family val="2"/>
        <scheme val="minor"/>
      </rPr>
      <t>Wages</t>
    </r>
  </si>
  <si>
    <r>
      <rPr>
        <sz val="11"/>
        <rFont val="Calibri"/>
        <family val="2"/>
        <scheme val="minor"/>
      </rPr>
      <t>5020.00 Payroll Expenses:5000.00 Salaries &amp; Wages</t>
    </r>
  </si>
  <si>
    <r>
      <rPr>
        <sz val="11"/>
        <rFont val="Calibri"/>
        <family val="2"/>
        <scheme val="minor"/>
      </rPr>
      <t>Employer Taxes</t>
    </r>
  </si>
  <si>
    <r>
      <rPr>
        <sz val="11"/>
        <rFont val="Calibri"/>
        <family val="2"/>
        <scheme val="minor"/>
      </rPr>
      <t>Accrued Payroll</t>
    </r>
  </si>
  <si>
    <r>
      <rPr>
        <sz val="11"/>
        <rFont val="Calibri"/>
        <family val="2"/>
        <scheme val="minor"/>
      </rPr>
      <t>2120.00 Salaries &amp; Wages Payable</t>
    </r>
  </si>
  <si>
    <r>
      <rPr>
        <sz val="11"/>
        <rFont val="Calibri"/>
        <family val="2"/>
        <scheme val="minor"/>
      </rPr>
      <t>Payroll Tax Liability</t>
    </r>
  </si>
  <si>
    <r>
      <rPr>
        <sz val="11"/>
        <rFont val="Calibri"/>
        <family val="2"/>
        <scheme val="minor"/>
      </rPr>
      <t>Compensated</t>
    </r>
    <r>
      <rPr>
        <sz val="11"/>
        <color rgb="FF000000"/>
        <rFont val="Calibri"/>
        <family val="2"/>
        <scheme val="minor"/>
      </rPr>
      <t xml:space="preserve"> Absenses</t>
    </r>
  </si>
  <si>
    <r>
      <rPr>
        <sz val="11"/>
        <rFont val="Calibri"/>
        <family val="2"/>
        <scheme val="minor"/>
      </rPr>
      <t>2135.00 Compensated Absences</t>
    </r>
  </si>
  <si>
    <r>
      <rPr>
        <sz val="11"/>
        <rFont val="Calibri"/>
        <family val="2"/>
        <scheme val="minor"/>
      </rPr>
      <t>1125.00 Homeownership Receivable:1127.00 HO Receivable - Black</t>
    </r>
    <r>
      <rPr>
        <sz val="11"/>
        <color rgb="FF000000"/>
        <rFont val="Calibri"/>
        <family val="2"/>
        <scheme val="minor"/>
      </rPr>
      <t xml:space="preserve"> Mesa</t>
    </r>
  </si>
  <si>
    <r>
      <rPr>
        <sz val="11"/>
        <rFont val="Calibri"/>
        <family val="2"/>
        <scheme val="minor"/>
      </rPr>
      <t>Corr Revenue 2024</t>
    </r>
  </si>
  <si>
    <r>
      <rPr>
        <b/>
        <sz val="10"/>
        <rFont val="Aptos"/>
        <family val="2"/>
      </rPr>
      <t>TRANSACTION</t>
    </r>
    <r>
      <rPr>
        <b/>
        <sz val="10"/>
        <color rgb="FF000000"/>
        <rFont val="Aptos"/>
        <family val="2"/>
      </rPr>
      <t xml:space="preserve"> DATE</t>
    </r>
  </si>
  <si>
    <r>
      <rPr>
        <b/>
        <sz val="10"/>
        <rFont val="Aptos"/>
        <family val="2"/>
      </rPr>
      <t>TRANSACTION</t>
    </r>
    <r>
      <rPr>
        <b/>
        <sz val="10"/>
        <color rgb="FF000000"/>
        <rFont val="Aptos"/>
        <family val="2"/>
      </rPr>
      <t xml:space="preserve"> TYPE</t>
    </r>
  </si>
  <si>
    <r>
      <rPr>
        <b/>
        <sz val="10"/>
        <rFont val="Aptos"/>
        <family val="2"/>
      </rPr>
      <t>NUM</t>
    </r>
  </si>
  <si>
    <r>
      <rPr>
        <b/>
        <sz val="10"/>
        <rFont val="Aptos"/>
        <family val="2"/>
      </rPr>
      <t>NAME</t>
    </r>
  </si>
  <si>
    <r>
      <rPr>
        <b/>
        <sz val="10"/>
        <rFont val="Aptos"/>
        <family val="2"/>
      </rPr>
      <t>DEBIT</t>
    </r>
  </si>
  <si>
    <r>
      <rPr>
        <b/>
        <sz val="10"/>
        <rFont val="Aptos"/>
        <family val="2"/>
      </rPr>
      <t>CREDIT</t>
    </r>
  </si>
  <si>
    <r>
      <rPr>
        <sz val="10"/>
        <rFont val="Aptos"/>
        <family val="2"/>
      </rPr>
      <t>Journal Entry</t>
    </r>
  </si>
  <si>
    <r>
      <rPr>
        <sz val="10"/>
        <rFont val="Aptos"/>
        <family val="2"/>
      </rPr>
      <t>1300.01 Black Mesa-MHOA Accumulated Amortization</t>
    </r>
  </si>
  <si>
    <r>
      <rPr>
        <sz val="10"/>
        <rFont val="Aptos"/>
        <family val="2"/>
      </rPr>
      <t>3020.00 Restricted Balance - MEPA</t>
    </r>
  </si>
  <si>
    <r>
      <rPr>
        <sz val="10"/>
        <rFont val="Aptos"/>
        <family val="2"/>
      </rPr>
      <t>2171.00 Mutual Equity Payment Account (MEPA)</t>
    </r>
  </si>
  <si>
    <r>
      <rPr>
        <sz val="10"/>
        <rFont val="Aptos"/>
        <family val="2"/>
      </rPr>
      <t>4130.00 Housing Income:4134.00 HO Black Mesa Income</t>
    </r>
  </si>
  <si>
    <r>
      <rPr>
        <sz val="10"/>
        <rFont val="Aptos"/>
        <family val="2"/>
      </rPr>
      <t>Reverse PPD QB check adjustment</t>
    </r>
  </si>
  <si>
    <r>
      <rPr>
        <sz val="10"/>
        <rFont val="Aptos"/>
        <family val="2"/>
      </rPr>
      <t>Checking Main dont use</t>
    </r>
  </si>
  <si>
    <r>
      <rPr>
        <sz val="10"/>
        <rFont val="Aptos"/>
        <family val="2"/>
      </rPr>
      <t>3000.01 Opening Balance Equity</t>
    </r>
  </si>
  <si>
    <r>
      <rPr>
        <sz val="10"/>
        <rFont val="Aptos"/>
        <family val="2"/>
      </rPr>
      <t>HO receivable Deer Tail</t>
    </r>
  </si>
  <si>
    <r>
      <rPr>
        <sz val="10"/>
        <rFont val="Aptos"/>
        <family val="2"/>
      </rPr>
      <t>1125.00 Homeownership Receivable:1126.00 HO Receivable - Deer</t>
    </r>
    <r>
      <rPr>
        <sz val="10"/>
        <color rgb="FF000000"/>
        <rFont val="Aptos"/>
        <family val="2"/>
      </rPr>
      <t xml:space="preserve"> Tail</t>
    </r>
  </si>
  <si>
    <r>
      <rPr>
        <sz val="10"/>
        <rFont val="Aptos"/>
        <family val="2"/>
      </rPr>
      <t>Revenue</t>
    </r>
  </si>
  <si>
    <r>
      <rPr>
        <sz val="10"/>
        <rFont val="Aptos"/>
        <family val="2"/>
      </rPr>
      <t>4130.00 Housing Income:4132.00 HO Deer Tail Income</t>
    </r>
  </si>
  <si>
    <r>
      <rPr>
        <sz val="10"/>
        <rFont val="Aptos"/>
        <family val="2"/>
      </rPr>
      <t>Allowance for Doubtful Accts</t>
    </r>
  </si>
  <si>
    <r>
      <rPr>
        <sz val="10"/>
        <rFont val="Aptos"/>
        <family val="2"/>
      </rPr>
      <t>1125.00 Homeownership Receivable:1126.00 HO Receivable - Deer</t>
    </r>
    <r>
      <rPr>
        <sz val="10"/>
        <color rgb="FF000000"/>
        <rFont val="Aptos"/>
        <family val="2"/>
      </rPr>
      <t xml:space="preserve"> Tail:1126.01 Allowance for Doubtful Accounts</t>
    </r>
  </si>
  <si>
    <r>
      <rPr>
        <sz val="10"/>
        <rFont val="Aptos"/>
        <family val="2"/>
      </rPr>
      <t>Bad Debt Expense</t>
    </r>
  </si>
  <si>
    <r>
      <rPr>
        <sz val="10"/>
        <rFont val="Aptos"/>
        <family val="2"/>
      </rPr>
      <t>9100.00 Bad Debt</t>
    </r>
  </si>
  <si>
    <r>
      <rPr>
        <sz val="10"/>
        <rFont val="Aptos"/>
        <family val="2"/>
      </rPr>
      <t>HO Receivable Battleship</t>
    </r>
  </si>
  <si>
    <r>
      <rPr>
        <sz val="10"/>
        <rFont val="Aptos"/>
        <family val="2"/>
      </rPr>
      <t>1125.00 Homeownership Receivable:1128.00 HO Receivable -</t>
    </r>
    <r>
      <rPr>
        <sz val="10"/>
        <color rgb="FF000000"/>
        <rFont val="Aptos"/>
        <family val="2"/>
      </rPr>
      <t xml:space="preserve"> Battleship</t>
    </r>
  </si>
  <si>
    <r>
      <rPr>
        <sz val="10"/>
        <rFont val="Aptos"/>
        <family val="2"/>
      </rPr>
      <t>4130.00 Housing Income:4133.00 HO Battleship Income</t>
    </r>
  </si>
  <si>
    <r>
      <rPr>
        <sz val="10"/>
        <rFont val="Aptos"/>
        <family val="2"/>
      </rPr>
      <t>Allowance for</t>
    </r>
    <r>
      <rPr>
        <sz val="10"/>
        <color rgb="FF000000"/>
        <rFont val="Aptos"/>
        <family val="2"/>
      </rPr>
      <t xml:space="preserve"> Doubtful Accts</t>
    </r>
  </si>
  <si>
    <r>
      <rPr>
        <sz val="10"/>
        <rFont val="Aptos"/>
        <family val="2"/>
      </rPr>
      <t>1125.00 Homeownership Receivable:1128.00 HO Receivable -</t>
    </r>
    <r>
      <rPr>
        <sz val="10"/>
        <color rgb="FF000000"/>
        <rFont val="Aptos"/>
        <family val="2"/>
      </rPr>
      <t xml:space="preserve"> Battleship:1128.01 Allowance for Doubtful Accounts</t>
    </r>
  </si>
  <si>
    <r>
      <rPr>
        <sz val="10"/>
        <rFont val="Aptos"/>
        <family val="2"/>
      </rPr>
      <t>Prepaid Rent-corrected</t>
    </r>
  </si>
  <si>
    <r>
      <rPr>
        <sz val="10"/>
        <rFont val="Aptos"/>
        <family val="2"/>
      </rPr>
      <t>2140.00 Customer prepayments</t>
    </r>
  </si>
  <si>
    <r>
      <rPr>
        <sz val="10"/>
        <rFont val="Aptos"/>
        <family val="2"/>
      </rPr>
      <t>Correct Receipts</t>
    </r>
    <r>
      <rPr>
        <sz val="10"/>
        <color rgb="FF000000"/>
        <rFont val="Aptos"/>
        <family val="2"/>
      </rPr>
      <t xml:space="preserve"> Serna Slns</t>
    </r>
  </si>
  <si>
    <r>
      <rPr>
        <sz val="10"/>
        <rFont val="Aptos"/>
        <family val="2"/>
      </rPr>
      <t>4140.00 Odo Po Income</t>
    </r>
  </si>
  <si>
    <r>
      <rPr>
        <sz val="10"/>
        <rFont val="Aptos"/>
        <family val="2"/>
      </rPr>
      <t>Amount due to</t>
    </r>
    <r>
      <rPr>
        <sz val="10"/>
        <color rgb="FF000000"/>
        <rFont val="Aptos"/>
        <family val="2"/>
      </rPr>
      <t xml:space="preserve"> Pueblo</t>
    </r>
  </si>
  <si>
    <r>
      <rPr>
        <sz val="10"/>
        <rFont val="Aptos"/>
        <family val="2"/>
      </rPr>
      <t>2225.00 Odo Po Rent Collected Payable</t>
    </r>
  </si>
  <si>
    <r>
      <rPr>
        <sz val="10"/>
        <rFont val="Aptos"/>
        <family val="2"/>
      </rPr>
      <t>Correct Recpts SIS</t>
    </r>
  </si>
  <si>
    <r>
      <rPr>
        <sz val="10"/>
        <rFont val="Aptos"/>
        <family val="2"/>
      </rPr>
      <t>W/S Serna Soultions</t>
    </r>
  </si>
  <si>
    <r>
      <rPr>
        <sz val="10"/>
        <rFont val="Aptos"/>
        <family val="2"/>
      </rPr>
      <t>Due from Serna</t>
    </r>
    <r>
      <rPr>
        <sz val="10"/>
        <color rgb="FF000000"/>
        <rFont val="Aptos"/>
        <family val="2"/>
      </rPr>
      <t xml:space="preserve"> Soultions</t>
    </r>
  </si>
  <si>
    <r>
      <rPr>
        <sz val="10"/>
        <rFont val="Aptos"/>
        <family val="2"/>
      </rPr>
      <t>1120.00 Accounts Receivable - Operations</t>
    </r>
  </si>
  <si>
    <r>
      <rPr>
        <sz val="10"/>
        <rFont val="Aptos"/>
        <family val="2"/>
      </rPr>
      <t>SIS January Lease</t>
    </r>
    <r>
      <rPr>
        <sz val="10"/>
        <color rgb="FF000000"/>
        <rFont val="Aptos"/>
        <family val="2"/>
      </rPr>
      <t xml:space="preserve"> Payment</t>
    </r>
  </si>
  <si>
    <r>
      <rPr>
        <sz val="10"/>
        <rFont val="Aptos"/>
        <family val="2"/>
      </rPr>
      <t>Reclass Revenue to local revenue</t>
    </r>
  </si>
  <si>
    <r>
      <rPr>
        <sz val="10"/>
        <rFont val="Aptos"/>
        <family val="2"/>
      </rPr>
      <t>4000.00 Federal Programs Revenue:4120.04 BIA ARPA - Housing Rehab</t>
    </r>
  </si>
  <si>
    <r>
      <rPr>
        <sz val="10"/>
        <rFont val="Aptos"/>
        <family val="2"/>
      </rPr>
      <t>4150.00 Local Revenue</t>
    </r>
  </si>
  <si>
    <r>
      <rPr>
        <sz val="10"/>
        <rFont val="Aptos"/>
        <family val="2"/>
      </rPr>
      <t>Accrue revenue earned on</t>
    </r>
    <r>
      <rPr>
        <sz val="10"/>
        <color rgb="FF000000"/>
        <rFont val="Aptos"/>
        <family val="2"/>
      </rPr>
      <t xml:space="preserve"> DT2</t>
    </r>
  </si>
  <si>
    <r>
      <rPr>
        <sz val="10"/>
        <rFont val="Aptos"/>
        <family val="2"/>
      </rPr>
      <t>2250.00 Capital Accounts:2230 Unearned Revenue - Tribal ARPA</t>
    </r>
  </si>
  <si>
    <r>
      <rPr>
        <sz val="10"/>
        <rFont val="Aptos"/>
        <family val="2"/>
      </rPr>
      <t>Accrue ICDBG Revenue</t>
    </r>
    <r>
      <rPr>
        <sz val="10"/>
        <color rgb="FF000000"/>
        <rFont val="Aptos"/>
        <family val="2"/>
      </rPr>
      <t xml:space="preserve"> Receivable</t>
    </r>
  </si>
  <si>
    <r>
      <rPr>
        <sz val="10"/>
        <rFont val="Aptos"/>
        <family val="2"/>
      </rPr>
      <t>4000.00 Federal Programs Revenue:4112.00 IHBG Revenue</t>
    </r>
  </si>
  <si>
    <r>
      <rPr>
        <sz val="10"/>
        <rFont val="Aptos"/>
        <family val="2"/>
      </rPr>
      <t>1130 Grants Receivable:1130.04 Grants Receivable ICDBG</t>
    </r>
  </si>
  <si>
    <r>
      <rPr>
        <sz val="10"/>
        <rFont val="Aptos"/>
        <family val="2"/>
      </rPr>
      <t>Reclass IHBG Cash Draws to</t>
    </r>
    <r>
      <rPr>
        <sz val="10"/>
        <color rgb="FF000000"/>
        <rFont val="Aptos"/>
        <family val="2"/>
      </rPr>
      <t xml:space="preserve"> Grants Receivable</t>
    </r>
  </si>
  <si>
    <r>
      <rPr>
        <sz val="10"/>
        <rFont val="Aptos"/>
        <family val="2"/>
      </rPr>
      <t>1130 Grants Receivable:1135.00 Grants Receivable IHBG ARPA</t>
    </r>
  </si>
  <si>
    <r>
      <rPr>
        <sz val="10"/>
        <rFont val="Aptos"/>
        <family val="2"/>
      </rPr>
      <t>4000.00 Federal Programs Revenue:4118.00 IHBG ARPA Revenue</t>
    </r>
  </si>
  <si>
    <r>
      <rPr>
        <sz val="10"/>
        <rFont val="Aptos"/>
        <family val="2"/>
      </rPr>
      <t>Accrue Revenue earned</t>
    </r>
    <r>
      <rPr>
        <sz val="10"/>
        <color rgb="FF000000"/>
        <rFont val="Aptos"/>
        <family val="2"/>
      </rPr>
      <t xml:space="preserve"> IHBG</t>
    </r>
  </si>
  <si>
    <r>
      <rPr>
        <sz val="10"/>
        <rFont val="Aptos"/>
        <family val="2"/>
      </rPr>
      <t>1130 Grants Receivable:1130.01 Grants Receivable IHBG</t>
    </r>
  </si>
  <si>
    <r>
      <rPr>
        <sz val="10"/>
        <rFont val="Aptos"/>
        <family val="2"/>
      </rPr>
      <t>Correct revenue to local revenue</t>
    </r>
  </si>
  <si>
    <r>
      <rPr>
        <sz val="10"/>
        <rFont val="Aptos"/>
        <family val="2"/>
      </rPr>
      <t>4120.01 San I ARPA - Rehab</t>
    </r>
  </si>
  <si>
    <r>
      <rPr>
        <sz val="10"/>
        <rFont val="Aptos"/>
        <family val="2"/>
      </rPr>
      <t>Accrue Revenue Receivable</t>
    </r>
  </si>
  <si>
    <r>
      <rPr>
        <sz val="10"/>
        <rFont val="Aptos"/>
        <family val="2"/>
      </rPr>
      <t>4000.00 Federal Programs Revenue:4120.05 Enterprise Grant</t>
    </r>
  </si>
  <si>
    <r>
      <rPr>
        <sz val="10"/>
        <rFont val="Aptos"/>
        <family val="2"/>
      </rPr>
      <t>1130 Grants Receivable:1130.02 Grants Receivable Enterprise</t>
    </r>
  </si>
  <si>
    <r>
      <rPr>
        <sz val="10"/>
        <rFont val="Aptos"/>
        <family val="2"/>
      </rPr>
      <t>1130 Grants Receivable</t>
    </r>
  </si>
  <si>
    <r>
      <rPr>
        <sz val="10"/>
        <rFont val="Aptos"/>
        <family val="2"/>
      </rPr>
      <t>Reclass A/R to Enterprise</t>
    </r>
    <r>
      <rPr>
        <sz val="10"/>
        <color rgb="FF000000"/>
        <rFont val="Aptos"/>
        <family val="2"/>
      </rPr>
      <t xml:space="preserve"> A/R</t>
    </r>
  </si>
  <si>
    <r>
      <rPr>
        <sz val="10"/>
        <rFont val="Aptos"/>
        <family val="2"/>
      </rPr>
      <t>Apply Payment to San Arpa</t>
    </r>
    <r>
      <rPr>
        <sz val="10"/>
        <color rgb="FF000000"/>
        <rFont val="Aptos"/>
        <family val="2"/>
      </rPr>
      <t xml:space="preserve"> A/R</t>
    </r>
  </si>
  <si>
    <r>
      <rPr>
        <sz val="10"/>
        <rFont val="Aptos"/>
        <family val="2"/>
      </rPr>
      <t>1130 Grants Receivable:1136.00 Accounts Receivable San I ARPA</t>
    </r>
  </si>
  <si>
    <r>
      <rPr>
        <sz val="10"/>
        <rFont val="Aptos"/>
        <family val="2"/>
      </rPr>
      <t>2024 DT Lease</t>
    </r>
    <r>
      <rPr>
        <sz val="10"/>
        <color rgb="FF000000"/>
        <rFont val="Aptos"/>
        <family val="2"/>
      </rPr>
      <t xml:space="preserve"> Amount Amortized</t>
    </r>
  </si>
  <si>
    <r>
      <rPr>
        <sz val="10"/>
        <rFont val="Aptos"/>
        <family val="2"/>
      </rPr>
      <t>9020.00 Amortization Expense</t>
    </r>
  </si>
  <si>
    <r>
      <rPr>
        <sz val="10"/>
        <rFont val="Aptos"/>
        <family val="2"/>
      </rPr>
      <t>2024 DT Lease</t>
    </r>
  </si>
  <si>
    <r>
      <rPr>
        <sz val="10"/>
        <rFont val="Aptos"/>
        <family val="2"/>
      </rPr>
      <t>1301.01 HO Deer Tail - LWOP-Accumulated Amortization</t>
    </r>
  </si>
  <si>
    <r>
      <rPr>
        <sz val="10"/>
        <rFont val="Aptos"/>
        <family val="2"/>
      </rPr>
      <t>1302.00 HO Battleship-LWOP Homeownership Units:1302.01 HO</t>
    </r>
    <r>
      <rPr>
        <sz val="10"/>
        <color rgb="FF000000"/>
        <rFont val="Aptos"/>
        <family val="2"/>
      </rPr>
      <t xml:space="preserve"> Battleship-LWOP Accumulated Amortization</t>
    </r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</si>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</sst>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 * #,##0.00_ ;_ * \-#,##0.00_ ;_ * &quot;-&quot;??_ ;_ @_ 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[$-409]mmmm\ d\,\ yyyy;@"/>
    <numFmt numFmtId="169" formatCode="mm/dd/yyyy"/>
    <numFmt numFmtId="170" formatCode="[$]mmmm\ d\,\ yyyy;@"/>
    <numFmt numFmtId="171" formatCode="m/d/yyyy;@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8"/>
      <color theme="1"/>
      <name val="Tahoma"/>
      <family val="2"/>
    </font>
    <font>
      <sz val="8"/>
      <color theme="0"/>
      <name val="Tahoma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rgb="FF9C0006"/>
      <name val="Tahoma"/>
      <family val="2"/>
    </font>
    <font>
      <b/>
      <sz val="8"/>
      <color rgb="FFFA7D00"/>
      <name val="Tahoma"/>
      <family val="2"/>
    </font>
    <font>
      <b/>
      <sz val="8"/>
      <color theme="0"/>
      <name val="Tahoma"/>
      <family val="2"/>
    </font>
    <font>
      <sz val="10"/>
      <name val="Arial"/>
      <family val="2"/>
    </font>
    <font>
      <i/>
      <sz val="8"/>
      <color rgb="FF7F7F7F"/>
      <name val="Tahoma"/>
      <family val="2"/>
    </font>
    <font>
      <u/>
      <sz val="8"/>
      <color theme="11"/>
      <name val="Tahoma"/>
      <family val="2"/>
    </font>
    <font>
      <sz val="8"/>
      <color rgb="FF006100"/>
      <name val="Tahoma"/>
      <family val="2"/>
    </font>
    <font>
      <b/>
      <sz val="8"/>
      <color theme="3"/>
      <name val="Tahoma"/>
      <family val="2"/>
    </font>
    <font>
      <u/>
      <sz val="8"/>
      <color theme="10"/>
      <name val="Tahoma"/>
      <family val="2"/>
    </font>
    <font>
      <sz val="8"/>
      <color rgb="FF3F3F76"/>
      <name val="Tahoma"/>
      <family val="2"/>
    </font>
    <font>
      <sz val="8"/>
      <color rgb="FFFA7D00"/>
      <name val="Tahoma"/>
      <family val="2"/>
    </font>
    <font>
      <sz val="8"/>
      <color rgb="FF9C6500"/>
      <name val="Tahoma"/>
      <family val="2"/>
    </font>
    <font>
      <sz val="12"/>
      <color theme="1"/>
      <name val="Calibri"/>
      <family val="2"/>
    </font>
    <font>
      <sz val="11"/>
      <color theme="1"/>
      <name val="Times New Roman"/>
      <family val="2"/>
    </font>
    <font>
      <sz val="12"/>
      <name val="Times New Roman"/>
      <family val="1"/>
    </font>
    <font>
      <sz val="11"/>
      <color theme="1"/>
      <name val="Arial"/>
      <family val="2"/>
    </font>
    <font>
      <sz val="8"/>
      <name val="Tahoma"/>
      <family val="2"/>
    </font>
    <font>
      <b/>
      <sz val="8"/>
      <color rgb="FF3F3F3F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b/>
      <sz val="10"/>
      <name val="Aptos"/>
      <family val="2"/>
    </font>
    <font>
      <sz val="10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10"/>
      <color rgb="FF323232"/>
      <name val="Aptos"/>
      <family val="2"/>
    </font>
    <font>
      <b/>
      <sz val="10"/>
      <color rgb="FF0000FF"/>
      <name val="Aptos"/>
      <family val="2"/>
    </font>
    <font>
      <sz val="10"/>
      <color rgb="FF0000FF"/>
      <name val="Aptos"/>
      <family val="2"/>
    </font>
    <font>
      <b/>
      <sz val="10"/>
      <color rgb="FF323232"/>
      <name val="Aptos"/>
      <family val="2"/>
    </font>
    <font>
      <b/>
      <sz val="10"/>
      <color indexed="8"/>
      <name val="Aptos"/>
      <family val="2"/>
    </font>
    <font>
      <b/>
      <sz val="10"/>
      <color rgb="FF000000"/>
      <name val="Aptos"/>
      <family val="2"/>
    </font>
    <font>
      <sz val="10"/>
      <color rgb="FF000000"/>
      <name val="Aptos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1">
    <xf numFmtId="0" fontId="0" fillId="0" borderId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4" fillId="13" borderId="0" applyNumberFormat="0" applyBorder="0" applyAlignment="0" applyProtection="0"/>
    <xf numFmtId="0" fontId="4" fillId="17" borderId="0" applyNumberFormat="0" applyBorder="0" applyAlignment="0" applyProtection="0"/>
    <xf numFmtId="0" fontId="4" fillId="21" borderId="0" applyNumberFormat="0" applyBorder="0" applyAlignment="0" applyProtection="0"/>
    <xf numFmtId="0" fontId="4" fillId="25" borderId="0" applyNumberFormat="0" applyBorder="0" applyAlignment="0" applyProtection="0"/>
    <xf numFmtId="0" fontId="4" fillId="29" borderId="0" applyNumberFormat="0" applyBorder="0" applyAlignment="0" applyProtection="0"/>
    <xf numFmtId="0" fontId="4" fillId="33" borderId="0" applyNumberFormat="0" applyBorder="0" applyAlignment="0" applyProtection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5" fillId="34" borderId="13">
      <alignment horizontal="left"/>
    </xf>
    <xf numFmtId="0" fontId="5" fillId="34" borderId="14">
      <alignment horizontal="left"/>
    </xf>
    <xf numFmtId="0" fontId="5" fillId="34" borderId="15">
      <alignment horizontal="left"/>
    </xf>
    <xf numFmtId="166" fontId="5" fillId="0" borderId="0" applyFont="0" applyFill="0" applyBorder="0" applyAlignment="0" applyProtection="0"/>
    <xf numFmtId="14" fontId="5" fillId="0" borderId="0" applyFont="0" applyFill="0" applyBorder="0" applyProtection="0">
      <alignment horizontal="left"/>
    </xf>
    <xf numFmtId="0" fontId="6" fillId="0" borderId="13">
      <alignment horizontal="left"/>
    </xf>
    <xf numFmtId="2" fontId="5" fillId="0" borderId="0" applyFill="0" applyProtection="0"/>
    <xf numFmtId="0" fontId="6" fillId="34" borderId="16">
      <alignment horizontal="left"/>
    </xf>
    <xf numFmtId="0" fontId="6" fillId="34" borderId="17">
      <alignment horizontal="left"/>
    </xf>
    <xf numFmtId="49" fontId="5" fillId="0" borderId="18" applyFont="0" applyFill="0" applyBorder="0" applyAlignment="0" applyProtection="0">
      <alignment horizontal="right"/>
    </xf>
    <xf numFmtId="0" fontId="5" fillId="0" borderId="0">
      <alignment horizontal="left"/>
    </xf>
    <xf numFmtId="0" fontId="6" fillId="34" borderId="19">
      <alignment horizontal="left"/>
    </xf>
    <xf numFmtId="0" fontId="5" fillId="0" borderId="13">
      <alignment horizontal="left"/>
    </xf>
    <xf numFmtId="0" fontId="6" fillId="34" borderId="20">
      <alignment horizontal="left"/>
    </xf>
    <xf numFmtId="0" fontId="6" fillId="34" borderId="21">
      <alignment horizontal="left"/>
    </xf>
    <xf numFmtId="0" fontId="6" fillId="34" borderId="22">
      <alignment horizontal="left"/>
    </xf>
    <xf numFmtId="0" fontId="5" fillId="0" borderId="18">
      <alignment horizontal="right"/>
    </xf>
    <xf numFmtId="0" fontId="7" fillId="4" borderId="0" applyNumberFormat="0" applyBorder="0" applyAlignment="0" applyProtection="0"/>
    <xf numFmtId="0" fontId="8" fillId="7" borderId="7" applyNumberFormat="0" applyAlignment="0" applyProtection="0"/>
    <xf numFmtId="0" fontId="9" fillId="8" borderId="10" applyNumberFormat="0" applyAlignment="0" applyProtection="0"/>
    <xf numFmtId="165" fontId="3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0" fillId="0" borderId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10" fillId="0" borderId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7" applyNumberFormat="0" applyAlignment="0" applyProtection="0"/>
    <xf numFmtId="0" fontId="17" fillId="0" borderId="9" applyNumberFormat="0" applyFill="0" applyAlignment="0" applyProtection="0"/>
    <xf numFmtId="0" fontId="18" fillId="5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20" fillId="0" borderId="0"/>
    <xf numFmtId="0" fontId="10" fillId="0" borderId="0"/>
    <xf numFmtId="0" fontId="21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5" fillId="0" borderId="0"/>
    <xf numFmtId="0" fontId="1" fillId="0" borderId="0"/>
    <xf numFmtId="0" fontId="10" fillId="0" borderId="0"/>
    <xf numFmtId="0" fontId="22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23" fillId="0" borderId="0"/>
    <xf numFmtId="0" fontId="10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9" borderId="11" applyNumberFormat="0" applyFont="0" applyAlignment="0" applyProtection="0"/>
    <xf numFmtId="0" fontId="24" fillId="7" borderId="8" applyNumberFormat="0" applyAlignment="0" applyProtection="0"/>
    <xf numFmtId="9" fontId="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0"/>
    <xf numFmtId="167" fontId="1" fillId="0" borderId="0" applyFont="0" applyFill="0" applyBorder="0" applyAlignment="0" applyProtection="0"/>
    <xf numFmtId="0" fontId="28" fillId="0" borderId="0"/>
    <xf numFmtId="0" fontId="1" fillId="0" borderId="0"/>
  </cellStyleXfs>
  <cellXfs count="97">
    <xf numFmtId="0" fontId="0" fillId="0" borderId="0" xfId="0"/>
    <xf numFmtId="0" fontId="31" fillId="0" borderId="0" xfId="0" applyFont="1"/>
    <xf numFmtId="0" fontId="32" fillId="0" borderId="0" xfId="0" applyFont="1" applyAlignment="1">
      <alignment horizontal="left"/>
    </xf>
    <xf numFmtId="170" fontId="32" fillId="0" borderId="0" xfId="0" applyNumberFormat="1" applyFont="1" applyAlignment="1">
      <alignment horizontal="left"/>
    </xf>
    <xf numFmtId="49" fontId="33" fillId="0" borderId="25" xfId="0" applyNumberFormat="1" applyFont="1" applyBorder="1"/>
    <xf numFmtId="167" fontId="33" fillId="0" borderId="25" xfId="108" applyFont="1" applyBorder="1"/>
    <xf numFmtId="49" fontId="33" fillId="0" borderId="26" xfId="0" applyNumberFormat="1" applyFont="1" applyBorder="1"/>
    <xf numFmtId="167" fontId="33" fillId="0" borderId="26" xfId="108" applyFont="1" applyBorder="1"/>
    <xf numFmtId="0" fontId="31" fillId="0" borderId="0" xfId="110" applyFont="1"/>
    <xf numFmtId="14" fontId="33" fillId="0" borderId="25" xfId="0" applyNumberFormat="1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14" fontId="33" fillId="0" borderId="26" xfId="0" applyNumberFormat="1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1" fillId="0" borderId="25" xfId="0" applyFont="1" applyBorder="1"/>
    <xf numFmtId="0" fontId="31" fillId="0" borderId="26" xfId="0" applyFont="1" applyBorder="1"/>
    <xf numFmtId="0" fontId="32" fillId="0" borderId="0" xfId="0" applyFont="1"/>
    <xf numFmtId="14" fontId="36" fillId="2" borderId="23" xfId="0" applyNumberFormat="1" applyFont="1" applyFill="1" applyBorder="1" applyAlignment="1">
      <alignment horizontal="center"/>
    </xf>
    <xf numFmtId="0" fontId="34" fillId="0" borderId="0" xfId="109" applyFont="1" applyAlignment="1">
      <alignment horizontal="right"/>
    </xf>
    <xf numFmtId="0" fontId="35" fillId="0" borderId="0" xfId="110" applyFont="1"/>
    <xf numFmtId="0" fontId="31" fillId="0" borderId="25" xfId="0" applyFont="1" applyBorder="1" applyAlignment="1">
      <alignment horizontal="center" vertical="center"/>
    </xf>
    <xf numFmtId="0" fontId="37" fillId="0" borderId="0" xfId="84" applyFont="1"/>
    <xf numFmtId="168" fontId="37" fillId="0" borderId="0" xfId="84" applyNumberFormat="1" applyFont="1" applyAlignment="1">
      <alignment horizontal="left"/>
    </xf>
    <xf numFmtId="0" fontId="31" fillId="0" borderId="23" xfId="0" applyFont="1" applyBorder="1"/>
    <xf numFmtId="169" fontId="33" fillId="0" borderId="23" xfId="0" applyNumberFormat="1" applyFont="1" applyBorder="1" applyAlignment="1">
      <alignment horizontal="center" vertical="center"/>
    </xf>
    <xf numFmtId="49" fontId="33" fillId="0" borderId="23" xfId="0" applyNumberFormat="1" applyFont="1" applyBorder="1" applyAlignment="1">
      <alignment horizontal="center" vertical="center"/>
    </xf>
    <xf numFmtId="49" fontId="33" fillId="0" borderId="23" xfId="0" applyNumberFormat="1" applyFont="1" applyBorder="1"/>
    <xf numFmtId="167" fontId="33" fillId="0" borderId="23" xfId="108" applyFont="1" applyBorder="1"/>
    <xf numFmtId="14" fontId="31" fillId="0" borderId="25" xfId="0" applyNumberFormat="1" applyFont="1" applyBorder="1" applyAlignment="1">
      <alignment horizontal="center" vertical="center"/>
    </xf>
    <xf numFmtId="167" fontId="31" fillId="0" borderId="25" xfId="108" applyFont="1" applyBorder="1"/>
    <xf numFmtId="0" fontId="38" fillId="2" borderId="23" xfId="0" applyFont="1" applyFill="1" applyBorder="1" applyAlignment="1">
      <alignment horizontal="center"/>
    </xf>
    <xf numFmtId="167" fontId="38" fillId="2" borderId="23" xfId="108" applyFont="1" applyFill="1" applyBorder="1" applyAlignment="1">
      <alignment horizontal="center"/>
    </xf>
    <xf numFmtId="14" fontId="31" fillId="0" borderId="24" xfId="0" applyNumberFormat="1" applyFont="1" applyBorder="1"/>
    <xf numFmtId="0" fontId="31" fillId="0" borderId="24" xfId="0" applyFont="1" applyBorder="1"/>
    <xf numFmtId="0" fontId="31" fillId="0" borderId="24" xfId="0" applyFont="1" applyBorder="1" applyAlignment="1">
      <alignment horizontal="center"/>
    </xf>
    <xf numFmtId="0" fontId="39" fillId="0" borderId="24" xfId="0" applyFont="1" applyBorder="1"/>
    <xf numFmtId="167" fontId="31" fillId="0" borderId="24" xfId="108" applyFont="1" applyBorder="1"/>
    <xf numFmtId="0" fontId="31" fillId="0" borderId="25" xfId="0" applyFont="1" applyBorder="1" applyAlignment="1">
      <alignment horizontal="center"/>
    </xf>
    <xf numFmtId="0" fontId="39" fillId="0" borderId="25" xfId="0" applyFont="1" applyBorder="1"/>
    <xf numFmtId="0" fontId="31" fillId="0" borderId="26" xfId="0" applyFont="1" applyBorder="1" applyAlignment="1">
      <alignment horizontal="center"/>
    </xf>
    <xf numFmtId="0" fontId="39" fillId="0" borderId="26" xfId="0" applyFont="1" applyBorder="1"/>
    <xf numFmtId="167" fontId="31" fillId="0" borderId="26" xfId="108" applyFont="1" applyBorder="1"/>
    <xf numFmtId="0" fontId="34" fillId="0" borderId="0" xfId="0" applyFont="1"/>
    <xf numFmtId="1" fontId="31" fillId="0" borderId="0" xfId="0" applyNumberFormat="1" applyFont="1"/>
    <xf numFmtId="168" fontId="30" fillId="0" borderId="0" xfId="0" applyNumberFormat="1" applyFont="1" applyAlignment="1">
      <alignment horizontal="left"/>
    </xf>
    <xf numFmtId="0" fontId="0" fillId="0" borderId="2" xfId="0" applyBorder="1" applyAlignment="1">
      <alignment horizontal="left" vertical="top"/>
    </xf>
    <xf numFmtId="167" fontId="0" fillId="0" borderId="2" xfId="108" applyFont="1" applyBorder="1" applyAlignment="1">
      <alignment horizontal="left" vertical="top"/>
    </xf>
    <xf numFmtId="1" fontId="0" fillId="0" borderId="2" xfId="0" applyNumberFormat="1" applyBorder="1" applyAlignment="1">
      <alignment horizontal="right"/>
    </xf>
    <xf numFmtId="171" fontId="40" fillId="0" borderId="2" xfId="0" applyNumberFormat="1" applyFont="1" applyBorder="1" applyAlignment="1">
      <alignment horizontal="right" vertical="center"/>
    </xf>
    <xf numFmtId="0" fontId="40" fillId="0" borderId="2" xfId="0" applyFont="1" applyBorder="1" applyAlignment="1">
      <alignment horizontal="left" vertical="center"/>
    </xf>
    <xf numFmtId="1" fontId="40" fillId="0" borderId="2" xfId="0" applyNumberFormat="1" applyFont="1" applyBorder="1" applyAlignment="1">
      <alignment horizontal="right" vertical="center"/>
    </xf>
    <xf numFmtId="0" fontId="41" fillId="0" borderId="2" xfId="0" applyFont="1" applyBorder="1" applyAlignment="1">
      <alignment horizontal="left" vertical="center"/>
    </xf>
    <xf numFmtId="167" fontId="40" fillId="0" borderId="2" xfId="108" applyFont="1" applyBorder="1" applyAlignment="1">
      <alignment horizontal="right" vertic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40" fillId="0" borderId="2" xfId="0" applyFont="1" applyBorder="1" applyAlignment="1">
      <alignment horizontal="right" vertical="center"/>
    </xf>
    <xf numFmtId="0" fontId="41" fillId="0" borderId="2" xfId="0" applyFont="1" applyBorder="1" applyAlignment="1">
      <alignment vertical="center"/>
    </xf>
    <xf numFmtId="171" fontId="40" fillId="0" borderId="2" xfId="0" applyNumberFormat="1" applyFont="1" applyBorder="1" applyAlignment="1">
      <alignment horizontal="right" vertical="top"/>
    </xf>
    <xf numFmtId="0" fontId="40" fillId="0" borderId="2" xfId="0" applyFont="1" applyBorder="1" applyAlignment="1">
      <alignment horizontal="left" vertical="top"/>
    </xf>
    <xf numFmtId="1" fontId="40" fillId="0" borderId="2" xfId="0" applyNumberFormat="1" applyFont="1" applyBorder="1" applyAlignment="1">
      <alignment horizontal="right" vertical="top"/>
    </xf>
    <xf numFmtId="0" fontId="41" fillId="0" borderId="2" xfId="0" applyFont="1" applyBorder="1" applyAlignment="1">
      <alignment horizontal="left" vertical="top"/>
    </xf>
    <xf numFmtId="167" fontId="40" fillId="0" borderId="2" xfId="108" applyFont="1" applyBorder="1" applyAlignment="1">
      <alignment horizontal="right" vertical="top"/>
    </xf>
    <xf numFmtId="2" fontId="40" fillId="0" borderId="2" xfId="0" applyNumberFormat="1" applyFont="1" applyBorder="1" applyAlignment="1">
      <alignment horizontal="left" vertical="center"/>
    </xf>
    <xf numFmtId="1" fontId="0" fillId="0" borderId="3" xfId="0" applyNumberFormat="1" applyBorder="1" applyAlignment="1">
      <alignment horizontal="right"/>
    </xf>
    <xf numFmtId="171" fontId="40" fillId="0" borderId="3" xfId="0" applyNumberFormat="1" applyFont="1" applyBorder="1" applyAlignment="1">
      <alignment horizontal="right" vertical="center"/>
    </xf>
    <xf numFmtId="0" fontId="40" fillId="0" borderId="3" xfId="0" applyFont="1" applyBorder="1" applyAlignment="1">
      <alignment horizontal="left" vertical="center"/>
    </xf>
    <xf numFmtId="1" fontId="40" fillId="0" borderId="3" xfId="0" applyNumberFormat="1" applyFont="1" applyBorder="1" applyAlignment="1">
      <alignment horizontal="right" vertical="center"/>
    </xf>
    <xf numFmtId="0" fontId="0" fillId="0" borderId="3" xfId="0" applyBorder="1" applyAlignment="1">
      <alignment horizontal="left" vertical="top"/>
    </xf>
    <xf numFmtId="2" fontId="40" fillId="0" borderId="3" xfId="0" applyNumberFormat="1" applyFont="1" applyBorder="1" applyAlignment="1">
      <alignment horizontal="left" vertical="center"/>
    </xf>
    <xf numFmtId="167" fontId="40" fillId="0" borderId="3" xfId="108" applyFont="1" applyBorder="1" applyAlignment="1">
      <alignment horizontal="right" vertical="center"/>
    </xf>
    <xf numFmtId="167" fontId="0" fillId="0" borderId="3" xfId="108" applyFont="1" applyBorder="1" applyAlignment="1">
      <alignment horizontal="left" vertical="top"/>
    </xf>
    <xf numFmtId="167" fontId="31" fillId="0" borderId="0" xfId="108" applyFont="1"/>
    <xf numFmtId="0" fontId="32" fillId="36" borderId="1" xfId="0" applyFont="1" applyFill="1" applyBorder="1" applyAlignment="1">
      <alignment horizontal="center" vertical="center" wrapText="1"/>
    </xf>
    <xf numFmtId="0" fontId="38" fillId="36" borderId="1" xfId="0" applyFont="1" applyFill="1" applyBorder="1" applyAlignment="1">
      <alignment horizontal="center" vertical="center" wrapText="1"/>
    </xf>
    <xf numFmtId="0" fontId="29" fillId="36" borderId="1" xfId="0" applyFont="1" applyFill="1" applyBorder="1" applyAlignment="1">
      <alignment horizontal="center" vertical="center" wrapText="1"/>
    </xf>
    <xf numFmtId="167" fontId="38" fillId="36" borderId="1" xfId="108" applyFont="1" applyFill="1" applyBorder="1" applyAlignment="1">
      <alignment horizontal="center" vertical="center" wrapText="1"/>
    </xf>
    <xf numFmtId="1" fontId="31" fillId="0" borderId="2" xfId="0" applyNumberFormat="1" applyFont="1" applyBorder="1" applyAlignment="1">
      <alignment horizontal="right"/>
    </xf>
    <xf numFmtId="171" fontId="39" fillId="0" borderId="2" xfId="0" applyNumberFormat="1" applyFont="1" applyBorder="1" applyAlignment="1">
      <alignment horizontal="right" vertical="center"/>
    </xf>
    <xf numFmtId="0" fontId="39" fillId="0" borderId="2" xfId="0" applyFont="1" applyBorder="1" applyAlignment="1">
      <alignment horizontal="left" vertical="center"/>
    </xf>
    <xf numFmtId="1" fontId="39" fillId="35" borderId="2" xfId="0" applyNumberFormat="1" applyFont="1" applyFill="1" applyBorder="1" applyAlignment="1">
      <alignment horizontal="right" vertical="center"/>
    </xf>
    <xf numFmtId="0" fontId="31" fillId="0" borderId="2" xfId="0" applyFont="1" applyBorder="1" applyAlignment="1">
      <alignment horizontal="left" vertical="top"/>
    </xf>
    <xf numFmtId="2" fontId="39" fillId="0" borderId="2" xfId="0" applyNumberFormat="1" applyFont="1" applyBorder="1" applyAlignment="1">
      <alignment horizontal="left" vertical="center"/>
    </xf>
    <xf numFmtId="167" fontId="31" fillId="0" borderId="2" xfId="108" applyFont="1" applyBorder="1" applyAlignment="1">
      <alignment horizontal="left" vertical="top"/>
    </xf>
    <xf numFmtId="167" fontId="39" fillId="0" borderId="2" xfId="108" applyFont="1" applyBorder="1" applyAlignment="1">
      <alignment horizontal="right" vertical="center"/>
    </xf>
    <xf numFmtId="171" fontId="39" fillId="0" borderId="2" xfId="0" applyNumberFormat="1" applyFont="1" applyBorder="1" applyAlignment="1">
      <alignment horizontal="right" vertical="top"/>
    </xf>
    <xf numFmtId="0" fontId="39" fillId="0" borderId="2" xfId="0" applyFont="1" applyBorder="1" applyAlignment="1">
      <alignment horizontal="left" vertical="top"/>
    </xf>
    <xf numFmtId="1" fontId="39" fillId="35" borderId="2" xfId="0" applyNumberFormat="1" applyFont="1" applyFill="1" applyBorder="1" applyAlignment="1">
      <alignment horizontal="right" vertical="top"/>
    </xf>
    <xf numFmtId="2" fontId="39" fillId="0" borderId="2" xfId="0" applyNumberFormat="1" applyFont="1" applyBorder="1" applyAlignment="1">
      <alignment horizontal="left" vertical="top"/>
    </xf>
    <xf numFmtId="167" fontId="39" fillId="0" borderId="2" xfId="108" applyFont="1" applyBorder="1" applyAlignment="1">
      <alignment horizontal="right" vertical="top"/>
    </xf>
    <xf numFmtId="1" fontId="39" fillId="0" borderId="2" xfId="0" applyNumberFormat="1" applyFont="1" applyBorder="1" applyAlignment="1">
      <alignment horizontal="left" vertical="center"/>
    </xf>
    <xf numFmtId="0" fontId="30" fillId="0" borderId="2" xfId="0" applyFont="1" applyBorder="1" applyAlignment="1">
      <alignment horizontal="left" vertical="center"/>
    </xf>
    <xf numFmtId="0" fontId="39" fillId="0" borderId="2" xfId="0" applyFont="1" applyBorder="1" applyAlignment="1">
      <alignment horizontal="left"/>
    </xf>
    <xf numFmtId="2" fontId="39" fillId="0" borderId="2" xfId="0" applyNumberFormat="1" applyFont="1" applyBorder="1" applyAlignment="1">
      <alignment horizontal="left"/>
    </xf>
    <xf numFmtId="167" fontId="39" fillId="0" borderId="2" xfId="108" applyFont="1" applyBorder="1" applyAlignment="1">
      <alignment horizontal="right"/>
    </xf>
    <xf numFmtId="43" fontId="0" fillId="0" borderId="0" xfId="0" applyNumberFormat="1"/>
    <xf numFmtId="0" fontId="31" fillId="0" borderId="24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</cellXfs>
  <cellStyles count="111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ALSTEC Bottom" xfId="25" xr:uid="{00000000-0005-0000-0000-000018000000}"/>
    <cellStyle name="ALSTEC Bottom Left" xfId="26" xr:uid="{00000000-0005-0000-0000-000019000000}"/>
    <cellStyle name="ALSTEC Bottom Right" xfId="27" xr:uid="{00000000-0005-0000-0000-00001A000000}"/>
    <cellStyle name="ALSTEC Currency" xfId="28" xr:uid="{00000000-0005-0000-0000-00001B000000}"/>
    <cellStyle name="ALSTEC Date" xfId="29" xr:uid="{00000000-0005-0000-0000-00001C000000}"/>
    <cellStyle name="ALSTEC Detail Header" xfId="30" xr:uid="{00000000-0005-0000-0000-00001D000000}"/>
    <cellStyle name="ALSTEC DOUBLE" xfId="31" xr:uid="{00000000-0005-0000-0000-00001E000000}"/>
    <cellStyle name="ALSTEC Left" xfId="32" xr:uid="{00000000-0005-0000-0000-00001F000000}"/>
    <cellStyle name="ALSTEC Middle" xfId="33" xr:uid="{00000000-0005-0000-0000-000020000000}"/>
    <cellStyle name="ALSTEC Normal" xfId="34" xr:uid="{00000000-0005-0000-0000-000021000000}"/>
    <cellStyle name="ALSTEC Report Body" xfId="35" xr:uid="{00000000-0005-0000-0000-000022000000}"/>
    <cellStyle name="ALSTEC Right" xfId="36" xr:uid="{00000000-0005-0000-0000-000023000000}"/>
    <cellStyle name="ALSTEC Subtotal" xfId="37" xr:uid="{00000000-0005-0000-0000-000024000000}"/>
    <cellStyle name="ALSTEC Top" xfId="38" xr:uid="{00000000-0005-0000-0000-000025000000}"/>
    <cellStyle name="ALSTEC Top Left" xfId="39" xr:uid="{00000000-0005-0000-0000-000026000000}"/>
    <cellStyle name="ALSTEC Top Right" xfId="40" xr:uid="{00000000-0005-0000-0000-000027000000}"/>
    <cellStyle name="ALSTEC Total" xfId="41" xr:uid="{00000000-0005-0000-0000-000028000000}"/>
    <cellStyle name="Bad 2" xfId="42" xr:uid="{00000000-0005-0000-0000-000029000000}"/>
    <cellStyle name="Calculation 2" xfId="43" xr:uid="{00000000-0005-0000-0000-00002A000000}"/>
    <cellStyle name="Check Cell 2" xfId="44" xr:uid="{00000000-0005-0000-0000-00002B000000}"/>
    <cellStyle name="Comma" xfId="108" builtinId="3"/>
    <cellStyle name="Comma [0] 2" xfId="45" xr:uid="{00000000-0005-0000-0000-00002D000000}"/>
    <cellStyle name="Comma 2" xfId="46" xr:uid="{00000000-0005-0000-0000-00002E000000}"/>
    <cellStyle name="Comma 2 2" xfId="47" xr:uid="{00000000-0005-0000-0000-00002F000000}"/>
    <cellStyle name="Comma 2 3" xfId="48" xr:uid="{00000000-0005-0000-0000-000030000000}"/>
    <cellStyle name="Comma 3" xfId="49" xr:uid="{00000000-0005-0000-0000-000031000000}"/>
    <cellStyle name="Comma 3 2" xfId="50" xr:uid="{00000000-0005-0000-0000-000032000000}"/>
    <cellStyle name="Comma 4" xfId="51" xr:uid="{00000000-0005-0000-0000-000033000000}"/>
    <cellStyle name="Comma 5" xfId="52" xr:uid="{00000000-0005-0000-0000-000034000000}"/>
    <cellStyle name="Comma 6" xfId="53" xr:uid="{00000000-0005-0000-0000-000035000000}"/>
    <cellStyle name="Currency [0] 2" xfId="54" xr:uid="{00000000-0005-0000-0000-000038000000}"/>
    <cellStyle name="Currency 2" xfId="55" xr:uid="{00000000-0005-0000-0000-000039000000}"/>
    <cellStyle name="Currency 3" xfId="56" xr:uid="{00000000-0005-0000-0000-00003A000000}"/>
    <cellStyle name="Currency 4" xfId="57" xr:uid="{00000000-0005-0000-0000-00003B000000}"/>
    <cellStyle name="Explanatory Text 2" xfId="58" xr:uid="{00000000-0005-0000-0000-00003C000000}"/>
    <cellStyle name="Followed Hyperlink 2" xfId="59" xr:uid="{00000000-0005-0000-0000-00003D000000}"/>
    <cellStyle name="Good 2" xfId="60" xr:uid="{00000000-0005-0000-0000-00003E000000}"/>
    <cellStyle name="Heading 1 2" xfId="61" xr:uid="{00000000-0005-0000-0000-00003F000000}"/>
    <cellStyle name="Heading 2 2" xfId="62" xr:uid="{00000000-0005-0000-0000-000040000000}"/>
    <cellStyle name="Heading 3 2" xfId="63" xr:uid="{00000000-0005-0000-0000-000041000000}"/>
    <cellStyle name="Heading 4 2" xfId="64" xr:uid="{00000000-0005-0000-0000-000042000000}"/>
    <cellStyle name="Hyperlink 2" xfId="65" xr:uid="{00000000-0005-0000-0000-000043000000}"/>
    <cellStyle name="Input 2" xfId="66" xr:uid="{00000000-0005-0000-0000-000044000000}"/>
    <cellStyle name="Linked Cell 2" xfId="67" xr:uid="{00000000-0005-0000-0000-000045000000}"/>
    <cellStyle name="Neutral 2" xfId="68" xr:uid="{00000000-0005-0000-0000-000046000000}"/>
    <cellStyle name="Normal" xfId="0" builtinId="0"/>
    <cellStyle name="Normal 10" xfId="69" xr:uid="{00000000-0005-0000-0000-000048000000}"/>
    <cellStyle name="Normal 10 2" xfId="70" xr:uid="{00000000-0005-0000-0000-000049000000}"/>
    <cellStyle name="Normal 10 3" xfId="71" xr:uid="{00000000-0005-0000-0000-00004A000000}"/>
    <cellStyle name="Normal 11" xfId="72" xr:uid="{00000000-0005-0000-0000-00004B000000}"/>
    <cellStyle name="Normal 11 2" xfId="73" xr:uid="{00000000-0005-0000-0000-00004C000000}"/>
    <cellStyle name="Normal 12" xfId="74" xr:uid="{00000000-0005-0000-0000-00004D000000}"/>
    <cellStyle name="Normal 2" xfId="75" xr:uid="{00000000-0005-0000-0000-00004E000000}"/>
    <cellStyle name="Normal 2 2" xfId="76" xr:uid="{00000000-0005-0000-0000-00004F000000}"/>
    <cellStyle name="Normal 2 2 2" xfId="77" xr:uid="{00000000-0005-0000-0000-000050000000}"/>
    <cellStyle name="Normal 2 2 2 2" xfId="78" xr:uid="{00000000-0005-0000-0000-000051000000}"/>
    <cellStyle name="Normal 2 2 3" xfId="79" xr:uid="{00000000-0005-0000-0000-000052000000}"/>
    <cellStyle name="Normal 2 3" xfId="80" xr:uid="{00000000-0005-0000-0000-000053000000}"/>
    <cellStyle name="Normal 2 4" xfId="81" xr:uid="{00000000-0005-0000-0000-000054000000}"/>
    <cellStyle name="Normal 2 4 2" xfId="82" xr:uid="{00000000-0005-0000-0000-000055000000}"/>
    <cellStyle name="Normal 2 5" xfId="107" xr:uid="{00000000-0005-0000-0000-000056000000}"/>
    <cellStyle name="Normal 2_Testwork" xfId="83" xr:uid="{00000000-0005-0000-0000-000057000000}"/>
    <cellStyle name="Normal 3" xfId="84" xr:uid="{00000000-0005-0000-0000-000058000000}"/>
    <cellStyle name="Normal 3 2" xfId="85" xr:uid="{00000000-0005-0000-0000-000059000000}"/>
    <cellStyle name="Normal 3 3" xfId="86" xr:uid="{00000000-0005-0000-0000-00005A000000}"/>
    <cellStyle name="Normal 3 4" xfId="87" xr:uid="{00000000-0005-0000-0000-00005B000000}"/>
    <cellStyle name="Normal 3 5" xfId="88" xr:uid="{00000000-0005-0000-0000-00005C000000}"/>
    <cellStyle name="Normal 3 6" xfId="89" xr:uid="{00000000-0005-0000-0000-00005D000000}"/>
    <cellStyle name="Normal 3_Testwork" xfId="90" xr:uid="{00000000-0005-0000-0000-00005E000000}"/>
    <cellStyle name="Normal 333" xfId="91" xr:uid="{00000000-0005-0000-0000-00005F000000}"/>
    <cellStyle name="Normal 4" xfId="92" xr:uid="{00000000-0005-0000-0000-000060000000}"/>
    <cellStyle name="Normal 4 2" xfId="93" xr:uid="{00000000-0005-0000-0000-000061000000}"/>
    <cellStyle name="Normal 5" xfId="94" xr:uid="{00000000-0005-0000-0000-000062000000}"/>
    <cellStyle name="Normal 5 3" xfId="95" xr:uid="{00000000-0005-0000-0000-000063000000}"/>
    <cellStyle name="Normal 6" xfId="96" xr:uid="{00000000-0005-0000-0000-000064000000}"/>
    <cellStyle name="Normal 7" xfId="97" xr:uid="{00000000-0005-0000-0000-000065000000}"/>
    <cellStyle name="Normal 8" xfId="98" xr:uid="{00000000-0005-0000-0000-000066000000}"/>
    <cellStyle name="Normal 9" xfId="99" xr:uid="{00000000-0005-0000-0000-000067000000}"/>
    <cellStyle name="Normal_Sample" xfId="109" xr:uid="{00000000-0005-0000-0000-000069000000}"/>
    <cellStyle name="Normal_Sheet2" xfId="110" xr:uid="{00000000-0005-0000-0000-00006A000000}"/>
    <cellStyle name="Note 2" xfId="100" xr:uid="{00000000-0005-0000-0000-00006B000000}"/>
    <cellStyle name="Output 2" xfId="101" xr:uid="{00000000-0005-0000-0000-00006C000000}"/>
    <cellStyle name="Percent 2" xfId="102" xr:uid="{00000000-0005-0000-0000-00006D000000}"/>
    <cellStyle name="Title 2" xfId="103" xr:uid="{00000000-0005-0000-0000-00006E000000}"/>
    <cellStyle name="Title 3" xfId="104" xr:uid="{00000000-0005-0000-0000-00006F000000}"/>
    <cellStyle name="Total 2" xfId="105" xr:uid="{00000000-0005-0000-0000-000070000000}"/>
    <cellStyle name="Warning Text 2" xfId="106" xr:uid="{00000000-0005-0000-0000-000071000000}"/>
  </cellStyles>
  <dxfs count="0"/>
  <tableStyles count="1" defaultTableStyle="TableStyleMedium2" defaultPivotStyle="PivotStyleLight16">
    <tableStyle name="Invisible" pivot="0" table="0" count="0" xr9:uid="{084A3952-CCB7-4F03-B6F7-3BBCEA34BAD0}"/>
  </tableStyles>
  <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4"/>
  <sheetViews>
    <sheetView tabSelected="1" zoomScale="85" zoomScaleNormal="85" workbookViewId="0">
      <selection activeCell="K1" sqref="K1"/>
    </sheetView>
  </sheetViews>
  <sheetFormatPr defaultRowHeight="13.5" x14ac:dyDescent="0.25"/>
  <cols>
    <col min="1" max="1" width="15.5703125" style="1" bestFit="1" customWidth="1"/>
    <col min="2" max="2" width="20.140625" style="1" bestFit="1" customWidth="1"/>
    <col min="3" max="3" width="13.5703125" style="1" customWidth="1"/>
    <col min="4" max="4" width="6.5703125" style="1" customWidth="1"/>
    <col min="5" max="5" width="8.5703125" style="1" customWidth="1"/>
    <col min="6" max="6" width="14" style="1" customWidth="1"/>
    <col min="7" max="7" width="14.28515625" style="1" customWidth="1"/>
    <col min="8" max="8" width="72.5703125" style="70" customWidth="1"/>
    <col min="9" max="9" width="14.28515625" style="70" bestFit="1" customWidth="1"/>
    <col min="10" max="10" width="14.28515625" style="1" bestFit="1" customWidth="1"/>
    <col min="11" max="11" width="12.42578125" style="1" bestFit="1" customWidth="1"/>
    <col min="12" max="16384" width="9.140625" style="1"/>
  </cols>
  <sheetData>
    <row r="1" spans="1:11" ht="41.25" thickBot="1" x14ac:dyDescent="0.3">
      <c r="A1" s="71" t="s">
        <v>58</v>
      </c>
      <c r="B1" s="72" t="s">
        <v>120</v>
      </c>
      <c r="C1" s="72" t="s">
        <v>121</v>
      </c>
      <c r="D1" s="72" t="s">
        <v>122</v>
      </c>
      <c r="E1" s="72" t="s">
        <v>123</v>
      </c>
      <c r="F1" s="72" t="s">
        <v>59</v>
      </c>
      <c r="G1" s="72" t="s">
        <v>60</v>
      </c>
      <c r="H1" s="73" t="s">
        <v>61</v>
      </c>
      <c r="I1" s="74" t="s">
        <v>124</v>
      </c>
      <c r="J1" s="74" t="s">
        <v>125</v>
      </c>
      <c r="K1" s="1" t="s">
        <v>185</v>
      </c>
    </row>
    <row r="2" spans="1:11" customFormat="1" ht="15" x14ac:dyDescent="0.25">
      <c r="A2" s="46">
        <v>2142</v>
      </c>
      <c r="B2" s="47">
        <v>45322</v>
      </c>
      <c r="C2" s="48" t="s">
        <v>62</v>
      </c>
      <c r="D2" s="49">
        <v>306</v>
      </c>
      <c r="E2" s="44"/>
      <c r="F2" s="44" t="s">
        <v>63</v>
      </c>
      <c r="G2" s="44">
        <v>5000.0200000000004</v>
      </c>
      <c r="H2" s="50" t="s">
        <v>64</v>
      </c>
      <c r="I2" s="45"/>
      <c r="J2" s="51">
        <v>2307.69</v>
      </c>
      <c r="K2" s="93">
        <f t="shared" ref="K2:K50" si="0">I2-J2</f>
        <v>-2307.69</v>
      </c>
    </row>
    <row r="3" spans="1:11" customFormat="1" ht="15" x14ac:dyDescent="0.25">
      <c r="A3" s="46">
        <v>2142</v>
      </c>
      <c r="B3" s="47">
        <v>45322</v>
      </c>
      <c r="C3" s="48" t="s">
        <v>62</v>
      </c>
      <c r="D3" s="49">
        <v>306</v>
      </c>
      <c r="E3" s="44"/>
      <c r="F3" s="44" t="s">
        <v>63</v>
      </c>
      <c r="G3" s="44">
        <v>5000.0200000000004</v>
      </c>
      <c r="H3" s="50" t="s">
        <v>65</v>
      </c>
      <c r="I3" s="51">
        <v>923.07</v>
      </c>
      <c r="J3" s="45"/>
      <c r="K3" s="93">
        <f t="shared" si="0"/>
        <v>923.07</v>
      </c>
    </row>
    <row r="4" spans="1:11" customFormat="1" ht="15" x14ac:dyDescent="0.25">
      <c r="A4" s="46">
        <v>2142</v>
      </c>
      <c r="B4" s="47">
        <v>45322</v>
      </c>
      <c r="C4" s="48" t="s">
        <v>62</v>
      </c>
      <c r="D4" s="49">
        <v>306</v>
      </c>
      <c r="E4" s="44"/>
      <c r="F4" s="44" t="s">
        <v>63</v>
      </c>
      <c r="G4" s="44">
        <v>5000.0200000000004</v>
      </c>
      <c r="H4" s="50" t="s">
        <v>65</v>
      </c>
      <c r="I4" s="51">
        <v>403.85</v>
      </c>
      <c r="J4" s="45"/>
      <c r="K4" s="93">
        <f t="shared" si="0"/>
        <v>403.85</v>
      </c>
    </row>
    <row r="5" spans="1:11" customFormat="1" ht="15" x14ac:dyDescent="0.25">
      <c r="A5" s="46">
        <v>2142</v>
      </c>
      <c r="B5" s="47">
        <v>45322</v>
      </c>
      <c r="C5" s="48" t="s">
        <v>62</v>
      </c>
      <c r="D5" s="49">
        <v>306</v>
      </c>
      <c r="E5" s="44"/>
      <c r="F5" s="44" t="s">
        <v>63</v>
      </c>
      <c r="G5" s="44">
        <v>5000.0200000000004</v>
      </c>
      <c r="H5" s="50" t="s">
        <v>65</v>
      </c>
      <c r="I5" s="51">
        <v>346.15</v>
      </c>
      <c r="J5" s="45"/>
      <c r="K5" s="93">
        <f t="shared" si="0"/>
        <v>346.15</v>
      </c>
    </row>
    <row r="6" spans="1:11" customFormat="1" ht="15" x14ac:dyDescent="0.25">
      <c r="A6" s="46">
        <v>2142</v>
      </c>
      <c r="B6" s="47">
        <v>45322</v>
      </c>
      <c r="C6" s="48" t="s">
        <v>62</v>
      </c>
      <c r="D6" s="49">
        <v>306</v>
      </c>
      <c r="E6" s="44"/>
      <c r="F6" s="44" t="s">
        <v>63</v>
      </c>
      <c r="G6" s="44">
        <v>5000.0200000000004</v>
      </c>
      <c r="H6" s="50" t="s">
        <v>65</v>
      </c>
      <c r="I6" s="51">
        <v>230.77</v>
      </c>
      <c r="J6" s="45"/>
      <c r="K6" s="93">
        <f t="shared" si="0"/>
        <v>230.77</v>
      </c>
    </row>
    <row r="7" spans="1:11" customFormat="1" ht="15" x14ac:dyDescent="0.25">
      <c r="A7" s="46">
        <v>2142</v>
      </c>
      <c r="B7" s="47">
        <v>45322</v>
      </c>
      <c r="C7" s="48" t="s">
        <v>62</v>
      </c>
      <c r="D7" s="49">
        <v>306</v>
      </c>
      <c r="E7" s="44"/>
      <c r="F7" s="44" t="s">
        <v>63</v>
      </c>
      <c r="G7" s="44">
        <v>5000.0200000000004</v>
      </c>
      <c r="H7" s="50" t="s">
        <v>65</v>
      </c>
      <c r="I7" s="51">
        <v>403.85</v>
      </c>
      <c r="J7" s="45"/>
      <c r="K7" s="93">
        <f t="shared" si="0"/>
        <v>403.85</v>
      </c>
    </row>
    <row r="8" spans="1:11" customFormat="1" ht="15" x14ac:dyDescent="0.25">
      <c r="A8" s="46">
        <v>3169</v>
      </c>
      <c r="B8" s="47">
        <v>45323</v>
      </c>
      <c r="C8" s="48" t="s">
        <v>62</v>
      </c>
      <c r="D8" s="54" t="s">
        <v>66</v>
      </c>
      <c r="E8" s="44"/>
      <c r="F8" s="44" t="s">
        <v>63</v>
      </c>
      <c r="G8" s="44">
        <v>5000.0200000000004</v>
      </c>
      <c r="H8" s="50" t="s">
        <v>64</v>
      </c>
      <c r="I8" s="51">
        <v>2307.69</v>
      </c>
      <c r="J8" s="45"/>
      <c r="K8" s="93">
        <f t="shared" si="0"/>
        <v>2307.69</v>
      </c>
    </row>
    <row r="9" spans="1:11" customFormat="1" ht="15" x14ac:dyDescent="0.25">
      <c r="A9" s="46">
        <v>3169</v>
      </c>
      <c r="B9" s="47">
        <v>45323</v>
      </c>
      <c r="C9" s="48" t="s">
        <v>62</v>
      </c>
      <c r="D9" s="54" t="s">
        <v>66</v>
      </c>
      <c r="E9" s="44"/>
      <c r="F9" s="44" t="s">
        <v>63</v>
      </c>
      <c r="G9" s="44">
        <v>5000.0200000000004</v>
      </c>
      <c r="H9" s="50" t="s">
        <v>64</v>
      </c>
      <c r="I9" s="45"/>
      <c r="J9" s="51">
        <v>923.07</v>
      </c>
      <c r="K9" s="93">
        <f t="shared" si="0"/>
        <v>-923.07</v>
      </c>
    </row>
    <row r="10" spans="1:11" customFormat="1" ht="15" x14ac:dyDescent="0.25">
      <c r="A10" s="46">
        <v>3169</v>
      </c>
      <c r="B10" s="47">
        <v>45323</v>
      </c>
      <c r="C10" s="48" t="s">
        <v>62</v>
      </c>
      <c r="D10" s="54" t="s">
        <v>66</v>
      </c>
      <c r="E10" s="44"/>
      <c r="F10" s="44" t="s">
        <v>63</v>
      </c>
      <c r="G10" s="44">
        <v>5000.0200000000004</v>
      </c>
      <c r="H10" s="50" t="s">
        <v>64</v>
      </c>
      <c r="I10" s="45"/>
      <c r="J10" s="51">
        <v>403.85</v>
      </c>
      <c r="K10" s="93">
        <f t="shared" si="0"/>
        <v>-403.85</v>
      </c>
    </row>
    <row r="11" spans="1:11" customFormat="1" ht="15" x14ac:dyDescent="0.25">
      <c r="A11" s="46">
        <v>3169</v>
      </c>
      <c r="B11" s="47">
        <v>45323</v>
      </c>
      <c r="C11" s="48" t="s">
        <v>62</v>
      </c>
      <c r="D11" s="54" t="s">
        <v>66</v>
      </c>
      <c r="E11" s="44"/>
      <c r="F11" s="44" t="s">
        <v>63</v>
      </c>
      <c r="G11" s="44">
        <v>5000.0200000000004</v>
      </c>
      <c r="H11" s="50" t="s">
        <v>64</v>
      </c>
      <c r="I11" s="45"/>
      <c r="J11" s="51">
        <v>346.15</v>
      </c>
      <c r="K11" s="93">
        <f t="shared" si="0"/>
        <v>-346.15</v>
      </c>
    </row>
    <row r="12" spans="1:11" customFormat="1" ht="15" x14ac:dyDescent="0.25">
      <c r="A12" s="46">
        <v>3169</v>
      </c>
      <c r="B12" s="47">
        <v>45323</v>
      </c>
      <c r="C12" s="48" t="s">
        <v>62</v>
      </c>
      <c r="D12" s="54" t="s">
        <v>66</v>
      </c>
      <c r="E12" s="44"/>
      <c r="F12" s="44" t="s">
        <v>63</v>
      </c>
      <c r="G12" s="44">
        <v>5000.0200000000004</v>
      </c>
      <c r="H12" s="50" t="s">
        <v>64</v>
      </c>
      <c r="I12" s="45"/>
      <c r="J12" s="51">
        <v>230.77</v>
      </c>
      <c r="K12" s="93">
        <f t="shared" si="0"/>
        <v>-230.77</v>
      </c>
    </row>
    <row r="13" spans="1:11" customFormat="1" ht="15" x14ac:dyDescent="0.25">
      <c r="A13" s="46">
        <v>3169</v>
      </c>
      <c r="B13" s="47">
        <v>45323</v>
      </c>
      <c r="C13" s="48" t="s">
        <v>62</v>
      </c>
      <c r="D13" s="54" t="s">
        <v>66</v>
      </c>
      <c r="E13" s="44"/>
      <c r="F13" s="44" t="s">
        <v>63</v>
      </c>
      <c r="G13" s="44">
        <v>5000.0200000000004</v>
      </c>
      <c r="H13" s="50" t="s">
        <v>64</v>
      </c>
      <c r="I13" s="45"/>
      <c r="J13" s="51">
        <v>403.85</v>
      </c>
      <c r="K13" s="93">
        <f t="shared" si="0"/>
        <v>-403.85</v>
      </c>
    </row>
    <row r="14" spans="1:11" customFormat="1" ht="15" x14ac:dyDescent="0.25">
      <c r="A14" s="46">
        <v>3832</v>
      </c>
      <c r="B14" s="47">
        <v>45323</v>
      </c>
      <c r="C14" s="48" t="s">
        <v>62</v>
      </c>
      <c r="D14" s="54" t="s">
        <v>67</v>
      </c>
      <c r="E14" s="44"/>
      <c r="F14" s="44" t="s">
        <v>68</v>
      </c>
      <c r="G14" s="44">
        <v>5000</v>
      </c>
      <c r="H14" s="50" t="s">
        <v>69</v>
      </c>
      <c r="I14" s="45"/>
      <c r="J14" s="51">
        <v>3365.82</v>
      </c>
      <c r="K14" s="93">
        <f t="shared" si="0"/>
        <v>-3365.82</v>
      </c>
    </row>
    <row r="15" spans="1:11" customFormat="1" ht="15" x14ac:dyDescent="0.25">
      <c r="A15" s="46">
        <v>3832</v>
      </c>
      <c r="B15" s="47">
        <v>45323</v>
      </c>
      <c r="C15" s="48" t="s">
        <v>62</v>
      </c>
      <c r="D15" s="54" t="s">
        <v>67</v>
      </c>
      <c r="E15" s="44"/>
      <c r="F15" s="44" t="s">
        <v>54</v>
      </c>
      <c r="G15" s="44">
        <v>5020.03</v>
      </c>
      <c r="H15" s="50" t="s">
        <v>70</v>
      </c>
      <c r="I15" s="45"/>
      <c r="J15" s="51">
        <v>257.48</v>
      </c>
      <c r="K15" s="93">
        <f t="shared" si="0"/>
        <v>-257.48</v>
      </c>
    </row>
    <row r="16" spans="1:11" customFormat="1" ht="15" x14ac:dyDescent="0.25">
      <c r="A16" s="46">
        <v>3832</v>
      </c>
      <c r="B16" s="47">
        <v>45323</v>
      </c>
      <c r="C16" s="48" t="s">
        <v>62</v>
      </c>
      <c r="D16" s="54" t="s">
        <v>67</v>
      </c>
      <c r="E16" s="44"/>
      <c r="F16" s="44" t="s">
        <v>55</v>
      </c>
      <c r="G16" s="44">
        <v>5020.04</v>
      </c>
      <c r="H16" s="50" t="s">
        <v>71</v>
      </c>
      <c r="I16" s="45"/>
      <c r="J16" s="51">
        <v>10.1</v>
      </c>
      <c r="K16" s="93">
        <f t="shared" si="0"/>
        <v>-10.1</v>
      </c>
    </row>
    <row r="17" spans="1:11" customFormat="1" ht="15" x14ac:dyDescent="0.25">
      <c r="A17" s="46">
        <v>3832</v>
      </c>
      <c r="B17" s="47">
        <v>45323</v>
      </c>
      <c r="C17" s="48" t="s">
        <v>62</v>
      </c>
      <c r="D17" s="54" t="s">
        <v>67</v>
      </c>
      <c r="E17" s="44"/>
      <c r="F17" s="44" t="s">
        <v>72</v>
      </c>
      <c r="G17" s="44">
        <v>5020.07</v>
      </c>
      <c r="H17" s="50" t="s">
        <v>73</v>
      </c>
      <c r="I17" s="45"/>
      <c r="J17" s="51">
        <v>52.51</v>
      </c>
      <c r="K17" s="93">
        <f t="shared" si="0"/>
        <v>-52.51</v>
      </c>
    </row>
    <row r="18" spans="1:11" customFormat="1" ht="15" x14ac:dyDescent="0.25">
      <c r="A18" s="46">
        <v>3832</v>
      </c>
      <c r="B18" s="47">
        <v>45323</v>
      </c>
      <c r="C18" s="48" t="s">
        <v>62</v>
      </c>
      <c r="D18" s="54" t="s">
        <v>67</v>
      </c>
      <c r="E18" s="44"/>
      <c r="F18" s="44" t="s">
        <v>74</v>
      </c>
      <c r="G18" s="44">
        <v>2120</v>
      </c>
      <c r="H18" s="50" t="s">
        <v>53</v>
      </c>
      <c r="I18" s="51">
        <v>3365.82</v>
      </c>
      <c r="J18" s="45"/>
      <c r="K18" s="93">
        <f t="shared" si="0"/>
        <v>3365.82</v>
      </c>
    </row>
    <row r="19" spans="1:11" customFormat="1" ht="15" x14ac:dyDescent="0.25">
      <c r="A19" s="46">
        <v>3832</v>
      </c>
      <c r="B19" s="47">
        <v>45323</v>
      </c>
      <c r="C19" s="48" t="s">
        <v>62</v>
      </c>
      <c r="D19" s="54" t="s">
        <v>67</v>
      </c>
      <c r="E19" s="44"/>
      <c r="F19" s="44"/>
      <c r="G19" s="44">
        <v>2125</v>
      </c>
      <c r="H19" s="55" t="s">
        <v>56</v>
      </c>
      <c r="I19" s="51">
        <v>320.08999999999997</v>
      </c>
      <c r="J19" s="45"/>
      <c r="K19" s="93">
        <f t="shared" si="0"/>
        <v>320.08999999999997</v>
      </c>
    </row>
    <row r="20" spans="1:11" customFormat="1" ht="15" x14ac:dyDescent="0.25">
      <c r="A20" s="46">
        <v>2256</v>
      </c>
      <c r="B20" s="47">
        <v>45351</v>
      </c>
      <c r="C20" s="48" t="s">
        <v>62</v>
      </c>
      <c r="D20" s="49">
        <v>307</v>
      </c>
      <c r="E20" s="44"/>
      <c r="F20" s="44" t="s">
        <v>75</v>
      </c>
      <c r="G20" s="44">
        <v>5000.0200000000004</v>
      </c>
      <c r="H20" s="50" t="s">
        <v>64</v>
      </c>
      <c r="I20" s="45"/>
      <c r="J20" s="51">
        <v>2307.69</v>
      </c>
      <c r="K20" s="93">
        <f t="shared" si="0"/>
        <v>-2307.69</v>
      </c>
    </row>
    <row r="21" spans="1:11" customFormat="1" ht="15" x14ac:dyDescent="0.25">
      <c r="A21" s="46">
        <v>2256</v>
      </c>
      <c r="B21" s="47">
        <v>45351</v>
      </c>
      <c r="C21" s="48" t="s">
        <v>62</v>
      </c>
      <c r="D21" s="49">
        <v>307</v>
      </c>
      <c r="E21" s="44"/>
      <c r="F21" s="44" t="s">
        <v>75</v>
      </c>
      <c r="G21" s="44">
        <v>5000.0200000000004</v>
      </c>
      <c r="H21" s="50" t="s">
        <v>64</v>
      </c>
      <c r="I21" s="51">
        <v>923.07</v>
      </c>
      <c r="J21" s="45"/>
      <c r="K21" s="93">
        <f t="shared" si="0"/>
        <v>923.07</v>
      </c>
    </row>
    <row r="22" spans="1:11" customFormat="1" ht="15" x14ac:dyDescent="0.25">
      <c r="A22" s="46">
        <v>2256</v>
      </c>
      <c r="B22" s="47">
        <v>45351</v>
      </c>
      <c r="C22" s="48" t="s">
        <v>62</v>
      </c>
      <c r="D22" s="49">
        <v>307</v>
      </c>
      <c r="E22" s="44"/>
      <c r="F22" s="44" t="s">
        <v>75</v>
      </c>
      <c r="G22" s="44">
        <v>5000.0200000000004</v>
      </c>
      <c r="H22" s="50" t="s">
        <v>64</v>
      </c>
      <c r="I22" s="51">
        <v>403.85</v>
      </c>
      <c r="J22" s="45"/>
      <c r="K22" s="93">
        <f t="shared" si="0"/>
        <v>403.85</v>
      </c>
    </row>
    <row r="23" spans="1:11" customFormat="1" ht="15" x14ac:dyDescent="0.25">
      <c r="A23" s="46">
        <v>2256</v>
      </c>
      <c r="B23" s="47">
        <v>45351</v>
      </c>
      <c r="C23" s="48" t="s">
        <v>62</v>
      </c>
      <c r="D23" s="49">
        <v>307</v>
      </c>
      <c r="E23" s="44"/>
      <c r="F23" s="44" t="s">
        <v>75</v>
      </c>
      <c r="G23" s="44">
        <v>5000.0200000000004</v>
      </c>
      <c r="H23" s="50" t="s">
        <v>64</v>
      </c>
      <c r="I23" s="51">
        <v>346.15</v>
      </c>
      <c r="J23" s="45"/>
      <c r="K23" s="93">
        <f t="shared" si="0"/>
        <v>346.15</v>
      </c>
    </row>
    <row r="24" spans="1:11" customFormat="1" ht="15" x14ac:dyDescent="0.25">
      <c r="A24" s="46">
        <v>2256</v>
      </c>
      <c r="B24" s="47">
        <v>45351</v>
      </c>
      <c r="C24" s="48" t="s">
        <v>62</v>
      </c>
      <c r="D24" s="49">
        <v>307</v>
      </c>
      <c r="E24" s="44"/>
      <c r="F24" s="44" t="s">
        <v>75</v>
      </c>
      <c r="G24" s="44">
        <v>5000.0200000000004</v>
      </c>
      <c r="H24" s="50" t="s">
        <v>64</v>
      </c>
      <c r="I24" s="51">
        <v>230.77</v>
      </c>
      <c r="J24" s="45"/>
      <c r="K24" s="93">
        <f t="shared" si="0"/>
        <v>230.77</v>
      </c>
    </row>
    <row r="25" spans="1:11" customFormat="1" ht="15" x14ac:dyDescent="0.25">
      <c r="A25" s="46">
        <v>2256</v>
      </c>
      <c r="B25" s="47">
        <v>45351</v>
      </c>
      <c r="C25" s="48" t="s">
        <v>62</v>
      </c>
      <c r="D25" s="49">
        <v>307</v>
      </c>
      <c r="E25" s="44"/>
      <c r="F25" s="44" t="s">
        <v>75</v>
      </c>
      <c r="G25" s="44">
        <v>5000.0200000000004</v>
      </c>
      <c r="H25" s="50" t="s">
        <v>64</v>
      </c>
      <c r="I25" s="51">
        <v>403.85</v>
      </c>
      <c r="J25" s="45"/>
      <c r="K25" s="93">
        <f t="shared" si="0"/>
        <v>403.85</v>
      </c>
    </row>
    <row r="26" spans="1:11" customFormat="1" ht="15" x14ac:dyDescent="0.25">
      <c r="A26" s="46">
        <v>3170</v>
      </c>
      <c r="B26" s="47">
        <v>45352</v>
      </c>
      <c r="C26" s="48" t="s">
        <v>62</v>
      </c>
      <c r="D26" s="54" t="s">
        <v>76</v>
      </c>
      <c r="E26" s="44"/>
      <c r="F26" s="44" t="s">
        <v>75</v>
      </c>
      <c r="G26" s="44">
        <v>5000.0200000000004</v>
      </c>
      <c r="H26" s="50" t="s">
        <v>64</v>
      </c>
      <c r="I26" s="51">
        <v>2307.69</v>
      </c>
      <c r="J26" s="45"/>
      <c r="K26" s="93">
        <f t="shared" si="0"/>
        <v>2307.69</v>
      </c>
    </row>
    <row r="27" spans="1:11" customFormat="1" ht="15" x14ac:dyDescent="0.25">
      <c r="A27" s="46">
        <v>3170</v>
      </c>
      <c r="B27" s="47">
        <v>45352</v>
      </c>
      <c r="C27" s="48" t="s">
        <v>62</v>
      </c>
      <c r="D27" s="54" t="s">
        <v>76</v>
      </c>
      <c r="E27" s="44"/>
      <c r="F27" s="44" t="s">
        <v>75</v>
      </c>
      <c r="G27" s="44">
        <v>5000.0200000000004</v>
      </c>
      <c r="H27" s="50" t="s">
        <v>64</v>
      </c>
      <c r="I27" s="45"/>
      <c r="J27" s="51">
        <v>923.07</v>
      </c>
      <c r="K27" s="93">
        <f t="shared" si="0"/>
        <v>-923.07</v>
      </c>
    </row>
    <row r="28" spans="1:11" customFormat="1" ht="15" x14ac:dyDescent="0.25">
      <c r="A28" s="46">
        <v>3170</v>
      </c>
      <c r="B28" s="47">
        <v>45352</v>
      </c>
      <c r="C28" s="48" t="s">
        <v>62</v>
      </c>
      <c r="D28" s="54" t="s">
        <v>76</v>
      </c>
      <c r="E28" s="44"/>
      <c r="F28" s="44" t="s">
        <v>75</v>
      </c>
      <c r="G28" s="44">
        <v>5000.0200000000004</v>
      </c>
      <c r="H28" s="50" t="s">
        <v>64</v>
      </c>
      <c r="I28" s="45"/>
      <c r="J28" s="51">
        <v>403.85</v>
      </c>
      <c r="K28" s="93">
        <f t="shared" si="0"/>
        <v>-403.85</v>
      </c>
    </row>
    <row r="29" spans="1:11" customFormat="1" ht="15" x14ac:dyDescent="0.25">
      <c r="A29" s="46">
        <v>3170</v>
      </c>
      <c r="B29" s="47">
        <v>45352</v>
      </c>
      <c r="C29" s="48" t="s">
        <v>62</v>
      </c>
      <c r="D29" s="54" t="s">
        <v>76</v>
      </c>
      <c r="E29" s="44"/>
      <c r="F29" s="44" t="s">
        <v>75</v>
      </c>
      <c r="G29" s="44">
        <v>5000.0200000000004</v>
      </c>
      <c r="H29" s="50" t="s">
        <v>64</v>
      </c>
      <c r="I29" s="45"/>
      <c r="J29" s="51">
        <v>346.15</v>
      </c>
      <c r="K29" s="93">
        <f t="shared" si="0"/>
        <v>-346.15</v>
      </c>
    </row>
    <row r="30" spans="1:11" customFormat="1" ht="15" x14ac:dyDescent="0.25">
      <c r="A30" s="46">
        <v>3170</v>
      </c>
      <c r="B30" s="47">
        <v>45352</v>
      </c>
      <c r="C30" s="48" t="s">
        <v>62</v>
      </c>
      <c r="D30" s="54" t="s">
        <v>76</v>
      </c>
      <c r="E30" s="44"/>
      <c r="F30" s="44" t="s">
        <v>75</v>
      </c>
      <c r="G30" s="44">
        <v>5000.0200000000004</v>
      </c>
      <c r="H30" s="50" t="s">
        <v>64</v>
      </c>
      <c r="I30" s="45"/>
      <c r="J30" s="51">
        <v>230.77</v>
      </c>
      <c r="K30" s="93">
        <f t="shared" si="0"/>
        <v>-230.77</v>
      </c>
    </row>
    <row r="31" spans="1:11" customFormat="1" ht="15" x14ac:dyDescent="0.25">
      <c r="A31" s="46">
        <v>3170</v>
      </c>
      <c r="B31" s="47">
        <v>45352</v>
      </c>
      <c r="C31" s="48" t="s">
        <v>62</v>
      </c>
      <c r="D31" s="54" t="s">
        <v>76</v>
      </c>
      <c r="E31" s="44"/>
      <c r="F31" s="44" t="s">
        <v>75</v>
      </c>
      <c r="G31" s="44">
        <v>5000.0200000000004</v>
      </c>
      <c r="H31" s="50" t="s">
        <v>64</v>
      </c>
      <c r="I31" s="45"/>
      <c r="J31" s="51">
        <v>403.85</v>
      </c>
      <c r="K31" s="93">
        <f t="shared" si="0"/>
        <v>-403.85</v>
      </c>
    </row>
    <row r="32" spans="1:11" customFormat="1" ht="15" x14ac:dyDescent="0.25">
      <c r="A32" s="46">
        <v>2314</v>
      </c>
      <c r="B32" s="47">
        <v>45382</v>
      </c>
      <c r="C32" s="48" t="s">
        <v>62</v>
      </c>
      <c r="D32" s="49">
        <v>308</v>
      </c>
      <c r="E32" s="44"/>
      <c r="F32" s="44" t="s">
        <v>75</v>
      </c>
      <c r="G32" s="44">
        <v>5000.0200000000004</v>
      </c>
      <c r="H32" s="50" t="s">
        <v>65</v>
      </c>
      <c r="I32" s="45"/>
      <c r="J32" s="51">
        <v>2307.69</v>
      </c>
      <c r="K32" s="93">
        <f t="shared" si="0"/>
        <v>-2307.69</v>
      </c>
    </row>
    <row r="33" spans="1:11" customFormat="1" ht="15" x14ac:dyDescent="0.25">
      <c r="A33" s="46">
        <v>2314</v>
      </c>
      <c r="B33" s="47">
        <v>45382</v>
      </c>
      <c r="C33" s="48" t="s">
        <v>62</v>
      </c>
      <c r="D33" s="49">
        <v>308</v>
      </c>
      <c r="E33" s="44"/>
      <c r="F33" s="44" t="s">
        <v>75</v>
      </c>
      <c r="G33" s="44">
        <v>5000.0200000000004</v>
      </c>
      <c r="H33" s="50" t="s">
        <v>64</v>
      </c>
      <c r="I33" s="51">
        <v>923.07</v>
      </c>
      <c r="J33" s="45"/>
      <c r="K33" s="93">
        <f t="shared" si="0"/>
        <v>923.07</v>
      </c>
    </row>
    <row r="34" spans="1:11" customFormat="1" ht="15" x14ac:dyDescent="0.25">
      <c r="A34" s="46">
        <v>2314</v>
      </c>
      <c r="B34" s="47">
        <v>45382</v>
      </c>
      <c r="C34" s="48" t="s">
        <v>62</v>
      </c>
      <c r="D34" s="49">
        <v>308</v>
      </c>
      <c r="E34" s="44"/>
      <c r="F34" s="44" t="s">
        <v>75</v>
      </c>
      <c r="G34" s="44">
        <v>5000.0200000000004</v>
      </c>
      <c r="H34" s="50" t="s">
        <v>64</v>
      </c>
      <c r="I34" s="51">
        <v>403.85</v>
      </c>
      <c r="J34" s="45"/>
      <c r="K34" s="93">
        <f t="shared" si="0"/>
        <v>403.85</v>
      </c>
    </row>
    <row r="35" spans="1:11" customFormat="1" ht="15" x14ac:dyDescent="0.25">
      <c r="A35" s="46">
        <v>2314</v>
      </c>
      <c r="B35" s="47">
        <v>45382</v>
      </c>
      <c r="C35" s="48" t="s">
        <v>62</v>
      </c>
      <c r="D35" s="49">
        <v>308</v>
      </c>
      <c r="E35" s="44"/>
      <c r="F35" s="44" t="s">
        <v>75</v>
      </c>
      <c r="G35" s="44">
        <v>5000.0200000000004</v>
      </c>
      <c r="H35" s="50" t="s">
        <v>64</v>
      </c>
      <c r="I35" s="51">
        <v>346.15</v>
      </c>
      <c r="J35" s="45"/>
      <c r="K35" s="93">
        <f t="shared" si="0"/>
        <v>346.15</v>
      </c>
    </row>
    <row r="36" spans="1:11" customFormat="1" ht="15" x14ac:dyDescent="0.25">
      <c r="A36" s="46">
        <v>2314</v>
      </c>
      <c r="B36" s="56">
        <v>45382</v>
      </c>
      <c r="C36" s="57" t="s">
        <v>62</v>
      </c>
      <c r="D36" s="58">
        <v>308</v>
      </c>
      <c r="E36" s="44"/>
      <c r="F36" s="44" t="s">
        <v>75</v>
      </c>
      <c r="G36" s="44">
        <v>5000.0200000000004</v>
      </c>
      <c r="H36" s="59" t="s">
        <v>77</v>
      </c>
      <c r="I36" s="60">
        <v>230.77</v>
      </c>
      <c r="J36" s="45"/>
      <c r="K36" s="93">
        <f t="shared" si="0"/>
        <v>230.77</v>
      </c>
    </row>
    <row r="37" spans="1:11" customFormat="1" ht="15" x14ac:dyDescent="0.25">
      <c r="A37" s="46">
        <v>2314</v>
      </c>
      <c r="B37" s="47">
        <v>45382</v>
      </c>
      <c r="C37" s="48" t="s">
        <v>62</v>
      </c>
      <c r="D37" s="49">
        <v>308</v>
      </c>
      <c r="E37" s="44"/>
      <c r="F37" s="48" t="s">
        <v>78</v>
      </c>
      <c r="G37" s="61">
        <v>5000.0200000000004</v>
      </c>
      <c r="H37" s="55" t="s">
        <v>64</v>
      </c>
      <c r="I37" s="51">
        <v>403.85</v>
      </c>
      <c r="J37" s="45"/>
      <c r="K37" s="93">
        <f t="shared" si="0"/>
        <v>403.85</v>
      </c>
    </row>
    <row r="38" spans="1:11" customFormat="1" ht="15" x14ac:dyDescent="0.25">
      <c r="A38" s="46">
        <v>3171</v>
      </c>
      <c r="B38" s="47">
        <v>45383</v>
      </c>
      <c r="C38" s="48" t="s">
        <v>62</v>
      </c>
      <c r="D38" s="54" t="s">
        <v>79</v>
      </c>
      <c r="E38" s="44"/>
      <c r="F38" s="48" t="s">
        <v>78</v>
      </c>
      <c r="G38" s="61">
        <v>5000.0200000000004</v>
      </c>
      <c r="H38" s="48" t="s">
        <v>80</v>
      </c>
      <c r="I38" s="51">
        <v>2307.69</v>
      </c>
      <c r="J38" s="45"/>
      <c r="K38" s="93">
        <f t="shared" si="0"/>
        <v>2307.69</v>
      </c>
    </row>
    <row r="39" spans="1:11" customFormat="1" ht="15" x14ac:dyDescent="0.25">
      <c r="A39" s="46">
        <v>3171</v>
      </c>
      <c r="B39" s="47">
        <v>45383</v>
      </c>
      <c r="C39" s="48" t="s">
        <v>62</v>
      </c>
      <c r="D39" s="54" t="s">
        <v>79</v>
      </c>
      <c r="E39" s="44"/>
      <c r="F39" s="48" t="s">
        <v>78</v>
      </c>
      <c r="G39" s="61">
        <v>5000.0200000000004</v>
      </c>
      <c r="H39" s="50" t="s">
        <v>64</v>
      </c>
      <c r="I39" s="45"/>
      <c r="J39" s="51">
        <v>923.07</v>
      </c>
      <c r="K39" s="93">
        <f t="shared" si="0"/>
        <v>-923.07</v>
      </c>
    </row>
    <row r="40" spans="1:11" customFormat="1" ht="15" x14ac:dyDescent="0.25">
      <c r="A40" s="46">
        <v>3171</v>
      </c>
      <c r="B40" s="47">
        <v>45383</v>
      </c>
      <c r="C40" s="48" t="s">
        <v>62</v>
      </c>
      <c r="D40" s="54" t="s">
        <v>79</v>
      </c>
      <c r="E40" s="44"/>
      <c r="F40" s="48" t="s">
        <v>78</v>
      </c>
      <c r="G40" s="61">
        <v>5000.0200000000004</v>
      </c>
      <c r="H40" s="50" t="s">
        <v>64</v>
      </c>
      <c r="I40" s="45"/>
      <c r="J40" s="51">
        <v>403.85</v>
      </c>
      <c r="K40" s="93">
        <f t="shared" si="0"/>
        <v>-403.85</v>
      </c>
    </row>
    <row r="41" spans="1:11" customFormat="1" ht="15" x14ac:dyDescent="0.25">
      <c r="A41" s="46">
        <v>3171</v>
      </c>
      <c r="B41" s="47">
        <v>45383</v>
      </c>
      <c r="C41" s="48" t="s">
        <v>62</v>
      </c>
      <c r="D41" s="54" t="s">
        <v>79</v>
      </c>
      <c r="E41" s="44"/>
      <c r="F41" s="48" t="s">
        <v>78</v>
      </c>
      <c r="G41" s="61">
        <v>5000.0200000000004</v>
      </c>
      <c r="H41" s="50" t="s">
        <v>64</v>
      </c>
      <c r="I41" s="45"/>
      <c r="J41" s="51">
        <v>346.15</v>
      </c>
      <c r="K41" s="93">
        <f t="shared" si="0"/>
        <v>-346.15</v>
      </c>
    </row>
    <row r="42" spans="1:11" customFormat="1" ht="15" x14ac:dyDescent="0.25">
      <c r="A42" s="46">
        <v>3171</v>
      </c>
      <c r="B42" s="47">
        <v>45383</v>
      </c>
      <c r="C42" s="48" t="s">
        <v>62</v>
      </c>
      <c r="D42" s="54" t="s">
        <v>79</v>
      </c>
      <c r="E42" s="44"/>
      <c r="F42" s="48" t="s">
        <v>78</v>
      </c>
      <c r="G42" s="61">
        <v>5000.0200000000004</v>
      </c>
      <c r="H42" s="50" t="s">
        <v>64</v>
      </c>
      <c r="I42" s="45"/>
      <c r="J42" s="51">
        <v>230.77</v>
      </c>
      <c r="K42" s="93">
        <f t="shared" si="0"/>
        <v>-230.77</v>
      </c>
    </row>
    <row r="43" spans="1:11" customFormat="1" ht="15" x14ac:dyDescent="0.25">
      <c r="A43" s="46">
        <v>3171</v>
      </c>
      <c r="B43" s="47">
        <v>45383</v>
      </c>
      <c r="C43" s="48" t="s">
        <v>62</v>
      </c>
      <c r="D43" s="54" t="s">
        <v>79</v>
      </c>
      <c r="E43" s="44"/>
      <c r="F43" s="48" t="s">
        <v>78</v>
      </c>
      <c r="G43" s="61">
        <v>5000.0200000000004</v>
      </c>
      <c r="H43" s="50" t="s">
        <v>64</v>
      </c>
      <c r="I43" s="45"/>
      <c r="J43" s="51">
        <v>403.85</v>
      </c>
      <c r="K43" s="93">
        <f t="shared" si="0"/>
        <v>-403.85</v>
      </c>
    </row>
    <row r="44" spans="1:11" customFormat="1" ht="15" x14ac:dyDescent="0.25">
      <c r="A44" s="46">
        <v>2458</v>
      </c>
      <c r="B44" s="47">
        <v>45412</v>
      </c>
      <c r="C44" s="48" t="s">
        <v>62</v>
      </c>
      <c r="D44" s="49">
        <v>309</v>
      </c>
      <c r="E44" s="44"/>
      <c r="F44" s="48" t="s">
        <v>78</v>
      </c>
      <c r="G44" s="61">
        <v>5000.0200000000004</v>
      </c>
      <c r="H44" s="48" t="s">
        <v>80</v>
      </c>
      <c r="I44" s="45"/>
      <c r="J44" s="51">
        <v>2307.69</v>
      </c>
      <c r="K44" s="93">
        <f t="shared" si="0"/>
        <v>-2307.69</v>
      </c>
    </row>
    <row r="45" spans="1:11" customFormat="1" ht="15" x14ac:dyDescent="0.25">
      <c r="A45" s="46">
        <v>2458</v>
      </c>
      <c r="B45" s="47">
        <v>45412</v>
      </c>
      <c r="C45" s="48" t="s">
        <v>62</v>
      </c>
      <c r="D45" s="49">
        <v>309</v>
      </c>
      <c r="E45" s="44"/>
      <c r="F45" s="48" t="s">
        <v>78</v>
      </c>
      <c r="G45" s="61">
        <v>5000.0200000000004</v>
      </c>
      <c r="H45" s="50" t="s">
        <v>64</v>
      </c>
      <c r="I45" s="51">
        <v>923.07</v>
      </c>
      <c r="J45" s="45"/>
      <c r="K45" s="93">
        <f t="shared" si="0"/>
        <v>923.07</v>
      </c>
    </row>
    <row r="46" spans="1:11" customFormat="1" ht="15" x14ac:dyDescent="0.25">
      <c r="A46" s="46">
        <v>2458</v>
      </c>
      <c r="B46" s="47">
        <v>45412</v>
      </c>
      <c r="C46" s="48" t="s">
        <v>62</v>
      </c>
      <c r="D46" s="49">
        <v>309</v>
      </c>
      <c r="E46" s="44"/>
      <c r="F46" s="48" t="s">
        <v>78</v>
      </c>
      <c r="G46" s="61">
        <v>5000.0200000000004</v>
      </c>
      <c r="H46" s="50" t="s">
        <v>64</v>
      </c>
      <c r="I46" s="51">
        <v>403.85</v>
      </c>
      <c r="J46" s="45"/>
      <c r="K46" s="93">
        <f t="shared" si="0"/>
        <v>403.85</v>
      </c>
    </row>
    <row r="47" spans="1:11" customFormat="1" ht="15" x14ac:dyDescent="0.25">
      <c r="A47" s="46">
        <v>2458</v>
      </c>
      <c r="B47" s="47">
        <v>45412</v>
      </c>
      <c r="C47" s="48" t="s">
        <v>62</v>
      </c>
      <c r="D47" s="49">
        <v>309</v>
      </c>
      <c r="E47" s="44"/>
      <c r="F47" s="48" t="s">
        <v>78</v>
      </c>
      <c r="G47" s="61">
        <v>5000.0200000000004</v>
      </c>
      <c r="H47" s="50" t="s">
        <v>64</v>
      </c>
      <c r="I47" s="51">
        <v>346.15</v>
      </c>
      <c r="J47" s="45"/>
      <c r="K47" s="93">
        <f t="shared" si="0"/>
        <v>346.15</v>
      </c>
    </row>
    <row r="48" spans="1:11" customFormat="1" ht="15" x14ac:dyDescent="0.25">
      <c r="A48" s="46">
        <v>2458</v>
      </c>
      <c r="B48" s="47">
        <v>45412</v>
      </c>
      <c r="C48" s="48" t="s">
        <v>62</v>
      </c>
      <c r="D48" s="49">
        <v>309</v>
      </c>
      <c r="E48" s="44"/>
      <c r="F48" s="48" t="s">
        <v>78</v>
      </c>
      <c r="G48" s="61">
        <v>5000.0200000000004</v>
      </c>
      <c r="H48" s="50" t="s">
        <v>64</v>
      </c>
      <c r="I48" s="51">
        <v>230.77</v>
      </c>
      <c r="J48" s="45"/>
      <c r="K48" s="93">
        <f t="shared" si="0"/>
        <v>230.77</v>
      </c>
    </row>
    <row r="49" spans="1:11" customFormat="1" ht="15" x14ac:dyDescent="0.25">
      <c r="A49" s="46">
        <v>2458</v>
      </c>
      <c r="B49" s="47">
        <v>45412</v>
      </c>
      <c r="C49" s="48" t="s">
        <v>62</v>
      </c>
      <c r="D49" s="49">
        <v>309</v>
      </c>
      <c r="E49" s="44"/>
      <c r="F49" s="48" t="s">
        <v>78</v>
      </c>
      <c r="G49" s="61">
        <v>5000.0200000000004</v>
      </c>
      <c r="H49" s="50" t="s">
        <v>64</v>
      </c>
      <c r="I49" s="51">
        <v>403.85</v>
      </c>
      <c r="J49" s="45"/>
      <c r="K49" s="93">
        <f t="shared" si="0"/>
        <v>403.85</v>
      </c>
    </row>
    <row r="50" spans="1:11" customFormat="1" ht="15" x14ac:dyDescent="0.25">
      <c r="A50" s="46">
        <v>3745</v>
      </c>
      <c r="B50" s="47">
        <v>45413</v>
      </c>
      <c r="C50" s="48" t="s">
        <v>62</v>
      </c>
      <c r="D50" s="54" t="s">
        <v>81</v>
      </c>
      <c r="E50" s="44"/>
      <c r="F50" s="50" t="s">
        <v>75</v>
      </c>
      <c r="G50" s="53">
        <v>5000.0200000000004</v>
      </c>
      <c r="H50" s="52" t="s">
        <v>64</v>
      </c>
      <c r="I50" s="51">
        <v>2307.69</v>
      </c>
      <c r="J50" s="45"/>
      <c r="K50" s="93">
        <f t="shared" si="0"/>
        <v>2307.69</v>
      </c>
    </row>
    <row r="51" spans="1:11" customFormat="1" ht="15" x14ac:dyDescent="0.25">
      <c r="A51" s="46">
        <v>3745</v>
      </c>
      <c r="B51" s="47">
        <v>45413</v>
      </c>
      <c r="C51" s="48" t="s">
        <v>62</v>
      </c>
      <c r="D51" s="54" t="s">
        <v>81</v>
      </c>
      <c r="E51" s="44"/>
      <c r="F51" s="50" t="s">
        <v>63</v>
      </c>
      <c r="G51" s="53">
        <v>5000.0200000000004</v>
      </c>
      <c r="H51" s="52" t="s">
        <v>64</v>
      </c>
      <c r="I51" s="45"/>
      <c r="J51" s="51">
        <v>923.07</v>
      </c>
      <c r="K51" s="93">
        <f t="shared" ref="K51:K103" si="1">I51-J51</f>
        <v>-923.07</v>
      </c>
    </row>
    <row r="52" spans="1:11" customFormat="1" ht="15" x14ac:dyDescent="0.25">
      <c r="A52" s="46">
        <v>3745</v>
      </c>
      <c r="B52" s="47">
        <v>45413</v>
      </c>
      <c r="C52" s="48" t="s">
        <v>62</v>
      </c>
      <c r="D52" s="54" t="s">
        <v>81</v>
      </c>
      <c r="E52" s="44"/>
      <c r="F52" s="50" t="s">
        <v>63</v>
      </c>
      <c r="G52" s="53">
        <v>5000.0200000000004</v>
      </c>
      <c r="H52" s="52" t="s">
        <v>64</v>
      </c>
      <c r="I52" s="45"/>
      <c r="J52" s="51">
        <v>403.85</v>
      </c>
      <c r="K52" s="93">
        <f t="shared" si="1"/>
        <v>-403.85</v>
      </c>
    </row>
    <row r="53" spans="1:11" customFormat="1" ht="15" x14ac:dyDescent="0.25">
      <c r="A53" s="46">
        <v>3745</v>
      </c>
      <c r="B53" s="47">
        <v>45413</v>
      </c>
      <c r="C53" s="48" t="s">
        <v>62</v>
      </c>
      <c r="D53" s="54" t="s">
        <v>81</v>
      </c>
      <c r="E53" s="44"/>
      <c r="F53" s="50" t="s">
        <v>63</v>
      </c>
      <c r="G53" s="53">
        <v>5000.0200000000004</v>
      </c>
      <c r="H53" s="52" t="s">
        <v>64</v>
      </c>
      <c r="I53" s="45"/>
      <c r="J53" s="51">
        <v>346.15</v>
      </c>
      <c r="K53" s="93">
        <f t="shared" si="1"/>
        <v>-346.15</v>
      </c>
    </row>
    <row r="54" spans="1:11" customFormat="1" ht="15" x14ac:dyDescent="0.25">
      <c r="A54" s="46">
        <v>3745</v>
      </c>
      <c r="B54" s="47">
        <v>45413</v>
      </c>
      <c r="C54" s="48" t="s">
        <v>62</v>
      </c>
      <c r="D54" s="54" t="s">
        <v>81</v>
      </c>
      <c r="E54" s="44"/>
      <c r="F54" s="50" t="s">
        <v>63</v>
      </c>
      <c r="G54" s="53">
        <v>5000.0200000000004</v>
      </c>
      <c r="H54" s="52" t="s">
        <v>64</v>
      </c>
      <c r="I54" s="45"/>
      <c r="J54" s="51">
        <v>230.77</v>
      </c>
      <c r="K54" s="93">
        <f t="shared" si="1"/>
        <v>-230.77</v>
      </c>
    </row>
    <row r="55" spans="1:11" customFormat="1" ht="15" x14ac:dyDescent="0.25">
      <c r="A55" s="46">
        <v>3745</v>
      </c>
      <c r="B55" s="47">
        <v>45413</v>
      </c>
      <c r="C55" s="48" t="s">
        <v>62</v>
      </c>
      <c r="D55" s="54" t="s">
        <v>81</v>
      </c>
      <c r="E55" s="44"/>
      <c r="F55" s="50" t="s">
        <v>63</v>
      </c>
      <c r="G55" s="53">
        <v>5000.0200000000004</v>
      </c>
      <c r="H55" s="52" t="s">
        <v>64</v>
      </c>
      <c r="I55" s="45"/>
      <c r="J55" s="51">
        <v>403.85</v>
      </c>
      <c r="K55" s="93">
        <f t="shared" si="1"/>
        <v>-403.85</v>
      </c>
    </row>
    <row r="56" spans="1:11" customFormat="1" ht="15" x14ac:dyDescent="0.25">
      <c r="A56" s="46">
        <v>2523</v>
      </c>
      <c r="B56" s="47">
        <v>45443</v>
      </c>
      <c r="C56" s="48" t="s">
        <v>62</v>
      </c>
      <c r="D56" s="49">
        <v>311</v>
      </c>
      <c r="E56" s="44"/>
      <c r="F56" s="50" t="s">
        <v>63</v>
      </c>
      <c r="G56" s="53">
        <v>5000.0200000000004</v>
      </c>
      <c r="H56" s="52" t="s">
        <v>64</v>
      </c>
      <c r="I56" s="45"/>
      <c r="J56" s="51">
        <v>2307.69</v>
      </c>
      <c r="K56" s="93">
        <f t="shared" si="1"/>
        <v>-2307.69</v>
      </c>
    </row>
    <row r="57" spans="1:11" customFormat="1" ht="15" x14ac:dyDescent="0.25">
      <c r="A57" s="46">
        <v>2523</v>
      </c>
      <c r="B57" s="47">
        <v>45443</v>
      </c>
      <c r="C57" s="48" t="s">
        <v>62</v>
      </c>
      <c r="D57" s="49">
        <v>311</v>
      </c>
      <c r="E57" s="44"/>
      <c r="F57" s="50" t="s">
        <v>63</v>
      </c>
      <c r="G57" s="53">
        <v>5000.0200000000004</v>
      </c>
      <c r="H57" s="52" t="s">
        <v>64</v>
      </c>
      <c r="I57" s="51">
        <v>923.07</v>
      </c>
      <c r="J57" s="45"/>
      <c r="K57" s="93">
        <f t="shared" si="1"/>
        <v>923.07</v>
      </c>
    </row>
    <row r="58" spans="1:11" customFormat="1" ht="15" x14ac:dyDescent="0.25">
      <c r="A58" s="46">
        <v>2523</v>
      </c>
      <c r="B58" s="47">
        <v>45443</v>
      </c>
      <c r="C58" s="48" t="s">
        <v>62</v>
      </c>
      <c r="D58" s="49">
        <v>311</v>
      </c>
      <c r="E58" s="44"/>
      <c r="F58" s="50" t="s">
        <v>63</v>
      </c>
      <c r="G58" s="53">
        <v>5000.0200000000004</v>
      </c>
      <c r="H58" s="52" t="s">
        <v>64</v>
      </c>
      <c r="I58" s="51">
        <v>403.85</v>
      </c>
      <c r="J58" s="45"/>
      <c r="K58" s="93">
        <f t="shared" si="1"/>
        <v>403.85</v>
      </c>
    </row>
    <row r="59" spans="1:11" customFormat="1" ht="15" x14ac:dyDescent="0.25">
      <c r="A59" s="46">
        <v>2523</v>
      </c>
      <c r="B59" s="47">
        <v>45443</v>
      </c>
      <c r="C59" s="48" t="s">
        <v>62</v>
      </c>
      <c r="D59" s="49">
        <v>311</v>
      </c>
      <c r="E59" s="44"/>
      <c r="F59" s="50" t="s">
        <v>63</v>
      </c>
      <c r="G59" s="53">
        <v>5000.0200000000004</v>
      </c>
      <c r="H59" s="52" t="s">
        <v>64</v>
      </c>
      <c r="I59" s="51">
        <v>346.15</v>
      </c>
      <c r="J59" s="45"/>
      <c r="K59" s="93">
        <f t="shared" si="1"/>
        <v>346.15</v>
      </c>
    </row>
    <row r="60" spans="1:11" customFormat="1" ht="15" x14ac:dyDescent="0.25">
      <c r="A60" s="46">
        <v>2523</v>
      </c>
      <c r="B60" s="47">
        <v>45443</v>
      </c>
      <c r="C60" s="48" t="s">
        <v>62</v>
      </c>
      <c r="D60" s="49">
        <v>311</v>
      </c>
      <c r="E60" s="44"/>
      <c r="F60" s="50" t="s">
        <v>63</v>
      </c>
      <c r="G60" s="53">
        <v>5000.0200000000004</v>
      </c>
      <c r="H60" s="52" t="s">
        <v>64</v>
      </c>
      <c r="I60" s="51">
        <v>230.77</v>
      </c>
      <c r="J60" s="45"/>
      <c r="K60" s="93">
        <f t="shared" si="1"/>
        <v>230.77</v>
      </c>
    </row>
    <row r="61" spans="1:11" customFormat="1" ht="15" x14ac:dyDescent="0.25">
      <c r="A61" s="46">
        <v>2523</v>
      </c>
      <c r="B61" s="47">
        <v>45443</v>
      </c>
      <c r="C61" s="48" t="s">
        <v>62</v>
      </c>
      <c r="D61" s="49">
        <v>311</v>
      </c>
      <c r="E61" s="44"/>
      <c r="F61" s="50" t="s">
        <v>63</v>
      </c>
      <c r="G61" s="53">
        <v>5000.0200000000004</v>
      </c>
      <c r="H61" s="52" t="s">
        <v>64</v>
      </c>
      <c r="I61" s="51">
        <v>403.85</v>
      </c>
      <c r="J61" s="45"/>
      <c r="K61" s="93">
        <f t="shared" si="1"/>
        <v>403.85</v>
      </c>
    </row>
    <row r="62" spans="1:11" customFormat="1" ht="15" x14ac:dyDescent="0.25">
      <c r="A62" s="46">
        <v>3746</v>
      </c>
      <c r="B62" s="47">
        <v>45444</v>
      </c>
      <c r="C62" s="48" t="s">
        <v>62</v>
      </c>
      <c r="D62" s="54" t="s">
        <v>82</v>
      </c>
      <c r="E62" s="44"/>
      <c r="F62" s="50" t="s">
        <v>52</v>
      </c>
      <c r="G62" s="53">
        <v>5000.0200000000004</v>
      </c>
      <c r="H62" s="52" t="s">
        <v>64</v>
      </c>
      <c r="I62" s="51">
        <v>2307.69</v>
      </c>
      <c r="J62" s="45"/>
      <c r="K62" s="93">
        <f t="shared" si="1"/>
        <v>2307.69</v>
      </c>
    </row>
    <row r="63" spans="1:11" customFormat="1" ht="15" x14ac:dyDescent="0.25">
      <c r="A63" s="46">
        <v>3746</v>
      </c>
      <c r="B63" s="47">
        <v>45444</v>
      </c>
      <c r="C63" s="48" t="s">
        <v>62</v>
      </c>
      <c r="D63" s="54" t="s">
        <v>82</v>
      </c>
      <c r="E63" s="44"/>
      <c r="F63" s="50" t="s">
        <v>52</v>
      </c>
      <c r="G63" s="53">
        <v>5000.0200000000004</v>
      </c>
      <c r="H63" s="52" t="s">
        <v>64</v>
      </c>
      <c r="I63" s="45"/>
      <c r="J63" s="51">
        <v>923.07</v>
      </c>
      <c r="K63" s="93">
        <f t="shared" si="1"/>
        <v>-923.07</v>
      </c>
    </row>
    <row r="64" spans="1:11" customFormat="1" ht="15" x14ac:dyDescent="0.25">
      <c r="A64" s="46">
        <v>3746</v>
      </c>
      <c r="B64" s="47">
        <v>45444</v>
      </c>
      <c r="C64" s="48" t="s">
        <v>62</v>
      </c>
      <c r="D64" s="54" t="s">
        <v>82</v>
      </c>
      <c r="E64" s="44"/>
      <c r="F64" s="50" t="s">
        <v>52</v>
      </c>
      <c r="G64" s="53">
        <v>5000.0200000000004</v>
      </c>
      <c r="H64" s="52" t="s">
        <v>64</v>
      </c>
      <c r="I64" s="45"/>
      <c r="J64" s="51">
        <v>403.85</v>
      </c>
      <c r="K64" s="93">
        <f t="shared" si="1"/>
        <v>-403.85</v>
      </c>
    </row>
    <row r="65" spans="1:11" customFormat="1" ht="15" x14ac:dyDescent="0.25">
      <c r="A65" s="46">
        <v>3746</v>
      </c>
      <c r="B65" s="47">
        <v>45444</v>
      </c>
      <c r="C65" s="48" t="s">
        <v>62</v>
      </c>
      <c r="D65" s="54" t="s">
        <v>82</v>
      </c>
      <c r="E65" s="44"/>
      <c r="F65" s="50" t="s">
        <v>52</v>
      </c>
      <c r="G65" s="53">
        <v>5000.0200000000004</v>
      </c>
      <c r="H65" s="52" t="s">
        <v>64</v>
      </c>
      <c r="I65" s="45"/>
      <c r="J65" s="51">
        <v>346.15</v>
      </c>
      <c r="K65" s="93">
        <f t="shared" si="1"/>
        <v>-346.15</v>
      </c>
    </row>
    <row r="66" spans="1:11" customFormat="1" ht="15" x14ac:dyDescent="0.25">
      <c r="A66" s="46">
        <v>3746</v>
      </c>
      <c r="B66" s="47">
        <v>45444</v>
      </c>
      <c r="C66" s="48" t="s">
        <v>62</v>
      </c>
      <c r="D66" s="54" t="s">
        <v>82</v>
      </c>
      <c r="E66" s="44"/>
      <c r="F66" s="50" t="s">
        <v>52</v>
      </c>
      <c r="G66" s="53">
        <v>5000.0200000000004</v>
      </c>
      <c r="H66" s="52" t="s">
        <v>64</v>
      </c>
      <c r="I66" s="45"/>
      <c r="J66" s="51">
        <v>230.77</v>
      </c>
      <c r="K66" s="93">
        <f t="shared" si="1"/>
        <v>-230.77</v>
      </c>
    </row>
    <row r="67" spans="1:11" customFormat="1" ht="15" x14ac:dyDescent="0.25">
      <c r="A67" s="46">
        <v>3746</v>
      </c>
      <c r="B67" s="47">
        <v>45444</v>
      </c>
      <c r="C67" s="48" t="s">
        <v>62</v>
      </c>
      <c r="D67" s="54" t="s">
        <v>82</v>
      </c>
      <c r="E67" s="44"/>
      <c r="F67" s="50" t="s">
        <v>52</v>
      </c>
      <c r="G67" s="53">
        <v>5000.0200000000004</v>
      </c>
      <c r="H67" s="52" t="s">
        <v>64</v>
      </c>
      <c r="I67" s="45"/>
      <c r="J67" s="51">
        <v>403.85</v>
      </c>
      <c r="K67" s="93">
        <f t="shared" si="1"/>
        <v>-403.85</v>
      </c>
    </row>
    <row r="68" spans="1:11" customFormat="1" ht="15" x14ac:dyDescent="0.25">
      <c r="A68" s="46">
        <v>2900</v>
      </c>
      <c r="B68" s="47">
        <v>45473</v>
      </c>
      <c r="C68" s="48" t="s">
        <v>62</v>
      </c>
      <c r="D68" s="49">
        <v>312</v>
      </c>
      <c r="E68" s="44"/>
      <c r="F68" s="50" t="s">
        <v>75</v>
      </c>
      <c r="G68" s="53">
        <v>5000.0200000000004</v>
      </c>
      <c r="H68" s="52" t="s">
        <v>64</v>
      </c>
      <c r="I68" s="45"/>
      <c r="J68" s="51">
        <v>2307.69</v>
      </c>
      <c r="K68" s="93">
        <f t="shared" si="1"/>
        <v>-2307.69</v>
      </c>
    </row>
    <row r="69" spans="1:11" customFormat="1" ht="15" x14ac:dyDescent="0.25">
      <c r="A69" s="46">
        <v>2900</v>
      </c>
      <c r="B69" s="47">
        <v>45473</v>
      </c>
      <c r="C69" s="48" t="s">
        <v>62</v>
      </c>
      <c r="D69" s="49">
        <v>312</v>
      </c>
      <c r="E69" s="44"/>
      <c r="F69" s="50" t="s">
        <v>75</v>
      </c>
      <c r="G69" s="53">
        <v>5000.0200000000004</v>
      </c>
      <c r="H69" s="52" t="s">
        <v>64</v>
      </c>
      <c r="I69" s="51">
        <v>923.07</v>
      </c>
      <c r="J69" s="45"/>
      <c r="K69" s="93">
        <f t="shared" si="1"/>
        <v>923.07</v>
      </c>
    </row>
    <row r="70" spans="1:11" customFormat="1" ht="15" x14ac:dyDescent="0.25">
      <c r="A70" s="46">
        <v>2900</v>
      </c>
      <c r="B70" s="47">
        <v>45473</v>
      </c>
      <c r="C70" s="48" t="s">
        <v>62</v>
      </c>
      <c r="D70" s="49">
        <v>312</v>
      </c>
      <c r="E70" s="44"/>
      <c r="F70" s="50" t="s">
        <v>75</v>
      </c>
      <c r="G70" s="53">
        <v>5000.0200000000004</v>
      </c>
      <c r="H70" s="52" t="s">
        <v>64</v>
      </c>
      <c r="I70" s="51">
        <v>403.85</v>
      </c>
      <c r="J70" s="45"/>
      <c r="K70" s="93">
        <f t="shared" si="1"/>
        <v>403.85</v>
      </c>
    </row>
    <row r="71" spans="1:11" customFormat="1" ht="15" x14ac:dyDescent="0.25">
      <c r="A71" s="46">
        <v>2900</v>
      </c>
      <c r="B71" s="47">
        <v>45473</v>
      </c>
      <c r="C71" s="48" t="s">
        <v>62</v>
      </c>
      <c r="D71" s="49">
        <v>312</v>
      </c>
      <c r="E71" s="44"/>
      <c r="F71" s="50" t="s">
        <v>75</v>
      </c>
      <c r="G71" s="53">
        <v>5000.0200000000004</v>
      </c>
      <c r="H71" s="52" t="s">
        <v>64</v>
      </c>
      <c r="I71" s="51">
        <v>346.15</v>
      </c>
      <c r="J71" s="45"/>
      <c r="K71" s="93">
        <f t="shared" si="1"/>
        <v>346.15</v>
      </c>
    </row>
    <row r="72" spans="1:11" customFormat="1" ht="15" x14ac:dyDescent="0.25">
      <c r="A72" s="46">
        <v>2900</v>
      </c>
      <c r="B72" s="47">
        <v>45473</v>
      </c>
      <c r="C72" s="48" t="s">
        <v>62</v>
      </c>
      <c r="D72" s="49">
        <v>312</v>
      </c>
      <c r="E72" s="44"/>
      <c r="F72" s="50" t="s">
        <v>75</v>
      </c>
      <c r="G72" s="53">
        <v>5000.0200000000004</v>
      </c>
      <c r="H72" s="52" t="s">
        <v>64</v>
      </c>
      <c r="I72" s="51">
        <v>230.77</v>
      </c>
      <c r="J72" s="45"/>
      <c r="K72" s="93">
        <f t="shared" si="1"/>
        <v>230.77</v>
      </c>
    </row>
    <row r="73" spans="1:11" customFormat="1" ht="15" x14ac:dyDescent="0.25">
      <c r="A73" s="46">
        <v>2900</v>
      </c>
      <c r="B73" s="47">
        <v>45473</v>
      </c>
      <c r="C73" s="48" t="s">
        <v>62</v>
      </c>
      <c r="D73" s="49">
        <v>312</v>
      </c>
      <c r="E73" s="44"/>
      <c r="F73" s="50" t="s">
        <v>75</v>
      </c>
      <c r="G73" s="53">
        <v>5000.0200000000004</v>
      </c>
      <c r="H73" s="52" t="s">
        <v>64</v>
      </c>
      <c r="I73" s="51">
        <v>403.85</v>
      </c>
      <c r="J73" s="45"/>
      <c r="K73" s="93">
        <f t="shared" si="1"/>
        <v>403.85</v>
      </c>
    </row>
    <row r="74" spans="1:11" customFormat="1" ht="15" x14ac:dyDescent="0.25">
      <c r="A74" s="46">
        <v>3747</v>
      </c>
      <c r="B74" s="47">
        <v>45474</v>
      </c>
      <c r="C74" s="48" t="s">
        <v>62</v>
      </c>
      <c r="D74" s="54" t="s">
        <v>83</v>
      </c>
      <c r="E74" s="44"/>
      <c r="F74" s="50" t="s">
        <v>75</v>
      </c>
      <c r="G74" s="53">
        <v>5000.0200000000004</v>
      </c>
      <c r="H74" s="52" t="s">
        <v>64</v>
      </c>
      <c r="I74" s="51">
        <v>2307.69</v>
      </c>
      <c r="J74" s="45"/>
      <c r="K74" s="93">
        <f t="shared" si="1"/>
        <v>2307.69</v>
      </c>
    </row>
    <row r="75" spans="1:11" customFormat="1" ht="15" x14ac:dyDescent="0.25">
      <c r="A75" s="46">
        <v>3747</v>
      </c>
      <c r="B75" s="47">
        <v>45474</v>
      </c>
      <c r="C75" s="48" t="s">
        <v>62</v>
      </c>
      <c r="D75" s="54" t="s">
        <v>83</v>
      </c>
      <c r="E75" s="44"/>
      <c r="F75" s="50" t="s">
        <v>75</v>
      </c>
      <c r="G75" s="53">
        <v>5000.0200000000004</v>
      </c>
      <c r="H75" s="52" t="s">
        <v>64</v>
      </c>
      <c r="I75" s="45"/>
      <c r="J75" s="51">
        <v>923.07</v>
      </c>
      <c r="K75" s="93">
        <f t="shared" si="1"/>
        <v>-923.07</v>
      </c>
    </row>
    <row r="76" spans="1:11" customFormat="1" ht="15" x14ac:dyDescent="0.25">
      <c r="A76" s="46">
        <v>3747</v>
      </c>
      <c r="B76" s="47">
        <v>45474</v>
      </c>
      <c r="C76" s="48" t="s">
        <v>62</v>
      </c>
      <c r="D76" s="54" t="s">
        <v>83</v>
      </c>
      <c r="E76" s="44"/>
      <c r="F76" s="50" t="s">
        <v>75</v>
      </c>
      <c r="G76" s="53">
        <v>5000.0200000000004</v>
      </c>
      <c r="H76" s="52" t="s">
        <v>64</v>
      </c>
      <c r="I76" s="45"/>
      <c r="J76" s="51">
        <v>403.85</v>
      </c>
      <c r="K76" s="93">
        <f t="shared" si="1"/>
        <v>-403.85</v>
      </c>
    </row>
    <row r="77" spans="1:11" customFormat="1" ht="15" x14ac:dyDescent="0.25">
      <c r="A77" s="46">
        <v>3747</v>
      </c>
      <c r="B77" s="47">
        <v>45474</v>
      </c>
      <c r="C77" s="48" t="s">
        <v>62</v>
      </c>
      <c r="D77" s="54" t="s">
        <v>83</v>
      </c>
      <c r="E77" s="44"/>
      <c r="F77" s="50" t="s">
        <v>75</v>
      </c>
      <c r="G77" s="53">
        <v>5000.0200000000004</v>
      </c>
      <c r="H77" s="52" t="s">
        <v>64</v>
      </c>
      <c r="I77" s="45"/>
      <c r="J77" s="51">
        <v>346.15</v>
      </c>
      <c r="K77" s="93">
        <f t="shared" si="1"/>
        <v>-346.15</v>
      </c>
    </row>
    <row r="78" spans="1:11" customFormat="1" ht="15" x14ac:dyDescent="0.25">
      <c r="A78" s="46">
        <v>3747</v>
      </c>
      <c r="B78" s="47">
        <v>45474</v>
      </c>
      <c r="C78" s="48" t="s">
        <v>62</v>
      </c>
      <c r="D78" s="54" t="s">
        <v>83</v>
      </c>
      <c r="E78" s="44"/>
      <c r="F78" s="50" t="s">
        <v>75</v>
      </c>
      <c r="G78" s="53">
        <v>5000.0200000000004</v>
      </c>
      <c r="H78" s="52" t="s">
        <v>64</v>
      </c>
      <c r="I78" s="45"/>
      <c r="J78" s="51">
        <v>230.77</v>
      </c>
      <c r="K78" s="93">
        <f t="shared" si="1"/>
        <v>-230.77</v>
      </c>
    </row>
    <row r="79" spans="1:11" customFormat="1" ht="15" x14ac:dyDescent="0.25">
      <c r="A79" s="46">
        <v>3747</v>
      </c>
      <c r="B79" s="47">
        <v>45474</v>
      </c>
      <c r="C79" s="48" t="s">
        <v>62</v>
      </c>
      <c r="D79" s="54" t="s">
        <v>83</v>
      </c>
      <c r="E79" s="44"/>
      <c r="F79" s="50" t="s">
        <v>75</v>
      </c>
      <c r="G79" s="53">
        <v>5000.0200000000004</v>
      </c>
      <c r="H79" s="52" t="s">
        <v>64</v>
      </c>
      <c r="I79" s="45"/>
      <c r="J79" s="51">
        <v>403.85</v>
      </c>
      <c r="K79" s="93">
        <f t="shared" si="1"/>
        <v>-403.85</v>
      </c>
    </row>
    <row r="80" spans="1:11" customFormat="1" ht="15" x14ac:dyDescent="0.25">
      <c r="A80" s="46">
        <v>2973</v>
      </c>
      <c r="B80" s="47">
        <v>45504</v>
      </c>
      <c r="C80" s="48" t="s">
        <v>62</v>
      </c>
      <c r="D80" s="49">
        <v>313</v>
      </c>
      <c r="E80" s="44"/>
      <c r="F80" s="48" t="s">
        <v>78</v>
      </c>
      <c r="G80" s="61">
        <v>5000.0200000000004</v>
      </c>
      <c r="H80" s="48" t="s">
        <v>80</v>
      </c>
      <c r="I80" s="45"/>
      <c r="J80" s="51">
        <v>2307.69</v>
      </c>
      <c r="K80" s="93">
        <f t="shared" si="1"/>
        <v>-2307.69</v>
      </c>
    </row>
    <row r="81" spans="1:11" customFormat="1" ht="15" x14ac:dyDescent="0.25">
      <c r="A81" s="46">
        <v>2973</v>
      </c>
      <c r="B81" s="47">
        <v>45504</v>
      </c>
      <c r="C81" s="48" t="s">
        <v>62</v>
      </c>
      <c r="D81" s="49">
        <v>313</v>
      </c>
      <c r="E81" s="44"/>
      <c r="F81" s="48" t="s">
        <v>78</v>
      </c>
      <c r="G81" s="61">
        <v>5000.0200000000004</v>
      </c>
      <c r="H81" s="50" t="s">
        <v>64</v>
      </c>
      <c r="I81" s="51">
        <v>923.07</v>
      </c>
      <c r="J81" s="45"/>
      <c r="K81" s="93">
        <f t="shared" si="1"/>
        <v>923.07</v>
      </c>
    </row>
    <row r="82" spans="1:11" customFormat="1" ht="15" x14ac:dyDescent="0.25">
      <c r="A82" s="46">
        <v>2973</v>
      </c>
      <c r="B82" s="47">
        <v>45504</v>
      </c>
      <c r="C82" s="48" t="s">
        <v>62</v>
      </c>
      <c r="D82" s="49">
        <v>313</v>
      </c>
      <c r="E82" s="44"/>
      <c r="F82" s="48" t="s">
        <v>78</v>
      </c>
      <c r="G82" s="61">
        <v>5000.0200000000004</v>
      </c>
      <c r="H82" s="50" t="s">
        <v>64</v>
      </c>
      <c r="I82" s="51">
        <v>403.85</v>
      </c>
      <c r="J82" s="45"/>
      <c r="K82" s="93">
        <f t="shared" si="1"/>
        <v>403.85</v>
      </c>
    </row>
    <row r="83" spans="1:11" customFormat="1" ht="15" x14ac:dyDescent="0.25">
      <c r="A83" s="46">
        <v>2973</v>
      </c>
      <c r="B83" s="47">
        <v>45504</v>
      </c>
      <c r="C83" s="48" t="s">
        <v>62</v>
      </c>
      <c r="D83" s="49">
        <v>313</v>
      </c>
      <c r="E83" s="44"/>
      <c r="F83" s="48" t="s">
        <v>78</v>
      </c>
      <c r="G83" s="61">
        <v>5000.0200000000004</v>
      </c>
      <c r="H83" s="50" t="s">
        <v>64</v>
      </c>
      <c r="I83" s="51">
        <v>346.15</v>
      </c>
      <c r="J83" s="45"/>
      <c r="K83" s="93">
        <f t="shared" si="1"/>
        <v>346.15</v>
      </c>
    </row>
    <row r="84" spans="1:11" customFormat="1" ht="15" x14ac:dyDescent="0.25">
      <c r="A84" s="46">
        <v>2973</v>
      </c>
      <c r="B84" s="47">
        <v>45504</v>
      </c>
      <c r="C84" s="48" t="s">
        <v>62</v>
      </c>
      <c r="D84" s="49">
        <v>313</v>
      </c>
      <c r="E84" s="44"/>
      <c r="F84" s="48" t="s">
        <v>78</v>
      </c>
      <c r="G84" s="61">
        <v>5000.0200000000004</v>
      </c>
      <c r="H84" s="50" t="s">
        <v>64</v>
      </c>
      <c r="I84" s="51">
        <v>230.77</v>
      </c>
      <c r="J84" s="45"/>
      <c r="K84" s="93">
        <f t="shared" si="1"/>
        <v>230.77</v>
      </c>
    </row>
    <row r="85" spans="1:11" customFormat="1" ht="15" x14ac:dyDescent="0.25">
      <c r="A85" s="46">
        <v>2973</v>
      </c>
      <c r="B85" s="47">
        <v>45504</v>
      </c>
      <c r="C85" s="48" t="s">
        <v>62</v>
      </c>
      <c r="D85" s="49">
        <v>313</v>
      </c>
      <c r="E85" s="44"/>
      <c r="F85" s="48" t="s">
        <v>78</v>
      </c>
      <c r="G85" s="61">
        <v>5000.0200000000004</v>
      </c>
      <c r="H85" s="50" t="s">
        <v>64</v>
      </c>
      <c r="I85" s="51">
        <v>403.85</v>
      </c>
      <c r="J85" s="45"/>
      <c r="K85" s="93">
        <f t="shared" si="1"/>
        <v>403.85</v>
      </c>
    </row>
    <row r="86" spans="1:11" customFormat="1" ht="15" x14ac:dyDescent="0.25">
      <c r="A86" s="46">
        <v>3748</v>
      </c>
      <c r="B86" s="47">
        <v>45505</v>
      </c>
      <c r="C86" s="48" t="s">
        <v>62</v>
      </c>
      <c r="D86" s="54" t="s">
        <v>84</v>
      </c>
      <c r="E86" s="44"/>
      <c r="F86" s="48" t="s">
        <v>78</v>
      </c>
      <c r="G86" s="61">
        <v>5000.0200000000004</v>
      </c>
      <c r="H86" s="48" t="s">
        <v>80</v>
      </c>
      <c r="I86" s="51">
        <v>2307.69</v>
      </c>
      <c r="J86" s="45"/>
      <c r="K86" s="93">
        <f t="shared" si="1"/>
        <v>2307.69</v>
      </c>
    </row>
    <row r="87" spans="1:11" customFormat="1" ht="15" x14ac:dyDescent="0.25">
      <c r="A87" s="46">
        <v>3748</v>
      </c>
      <c r="B87" s="47">
        <v>45505</v>
      </c>
      <c r="C87" s="48" t="s">
        <v>62</v>
      </c>
      <c r="D87" s="54" t="s">
        <v>84</v>
      </c>
      <c r="E87" s="44"/>
      <c r="F87" s="48" t="s">
        <v>78</v>
      </c>
      <c r="G87" s="61">
        <v>5000.0200000000004</v>
      </c>
      <c r="H87" s="50" t="s">
        <v>64</v>
      </c>
      <c r="I87" s="45"/>
      <c r="J87" s="51">
        <v>923.07</v>
      </c>
      <c r="K87" s="93">
        <f t="shared" si="1"/>
        <v>-923.07</v>
      </c>
    </row>
    <row r="88" spans="1:11" customFormat="1" ht="15" x14ac:dyDescent="0.25">
      <c r="A88" s="46">
        <v>3748</v>
      </c>
      <c r="B88" s="47">
        <v>45505</v>
      </c>
      <c r="C88" s="48" t="s">
        <v>62</v>
      </c>
      <c r="D88" s="54" t="s">
        <v>84</v>
      </c>
      <c r="E88" s="44"/>
      <c r="F88" s="48" t="s">
        <v>78</v>
      </c>
      <c r="G88" s="61">
        <v>5000.0200000000004</v>
      </c>
      <c r="H88" s="50" t="s">
        <v>64</v>
      </c>
      <c r="I88" s="45"/>
      <c r="J88" s="51">
        <v>403.85</v>
      </c>
      <c r="K88" s="93">
        <f t="shared" si="1"/>
        <v>-403.85</v>
      </c>
    </row>
    <row r="89" spans="1:11" customFormat="1" ht="15" x14ac:dyDescent="0.25">
      <c r="A89" s="46">
        <v>3748</v>
      </c>
      <c r="B89" s="47">
        <v>45505</v>
      </c>
      <c r="C89" s="48" t="s">
        <v>62</v>
      </c>
      <c r="D89" s="54" t="s">
        <v>84</v>
      </c>
      <c r="E89" s="44"/>
      <c r="F89" s="48" t="s">
        <v>78</v>
      </c>
      <c r="G89" s="61">
        <v>5000.0200000000004</v>
      </c>
      <c r="H89" s="50" t="s">
        <v>64</v>
      </c>
      <c r="I89" s="45"/>
      <c r="J89" s="51">
        <v>346.15</v>
      </c>
      <c r="K89" s="93">
        <f t="shared" si="1"/>
        <v>-346.15</v>
      </c>
    </row>
    <row r="90" spans="1:11" customFormat="1" ht="15" x14ac:dyDescent="0.25">
      <c r="A90" s="46">
        <v>3748</v>
      </c>
      <c r="B90" s="47">
        <v>45505</v>
      </c>
      <c r="C90" s="48" t="s">
        <v>62</v>
      </c>
      <c r="D90" s="54" t="s">
        <v>84</v>
      </c>
      <c r="E90" s="44"/>
      <c r="F90" s="48" t="s">
        <v>78</v>
      </c>
      <c r="G90" s="61">
        <v>5000.0200000000004</v>
      </c>
      <c r="H90" s="50" t="s">
        <v>64</v>
      </c>
      <c r="I90" s="45"/>
      <c r="J90" s="51">
        <v>230.77</v>
      </c>
      <c r="K90" s="93">
        <f t="shared" si="1"/>
        <v>-230.77</v>
      </c>
    </row>
    <row r="91" spans="1:11" customFormat="1" ht="15" x14ac:dyDescent="0.25">
      <c r="A91" s="46">
        <v>3748</v>
      </c>
      <c r="B91" s="47">
        <v>45505</v>
      </c>
      <c r="C91" s="48" t="s">
        <v>62</v>
      </c>
      <c r="D91" s="54" t="s">
        <v>84</v>
      </c>
      <c r="E91" s="44"/>
      <c r="F91" s="48" t="s">
        <v>78</v>
      </c>
      <c r="G91" s="61">
        <v>5000.0200000000004</v>
      </c>
      <c r="H91" s="50" t="s">
        <v>64</v>
      </c>
      <c r="I91" s="45"/>
      <c r="J91" s="51">
        <v>403.85</v>
      </c>
      <c r="K91" s="93">
        <f t="shared" si="1"/>
        <v>-403.85</v>
      </c>
    </row>
    <row r="92" spans="1:11" customFormat="1" ht="15" x14ac:dyDescent="0.25">
      <c r="A92" s="46">
        <v>3131</v>
      </c>
      <c r="B92" s="47">
        <v>45535</v>
      </c>
      <c r="C92" s="48" t="s">
        <v>62</v>
      </c>
      <c r="D92" s="49">
        <v>330</v>
      </c>
      <c r="E92" s="44"/>
      <c r="F92" s="50" t="s">
        <v>75</v>
      </c>
      <c r="G92" s="53">
        <v>5000.0200000000004</v>
      </c>
      <c r="H92" s="52" t="s">
        <v>64</v>
      </c>
      <c r="I92" s="45"/>
      <c r="J92" s="51">
        <v>2307.69</v>
      </c>
      <c r="K92" s="93">
        <f t="shared" si="1"/>
        <v>-2307.69</v>
      </c>
    </row>
    <row r="93" spans="1:11" customFormat="1" ht="15" x14ac:dyDescent="0.25">
      <c r="A93" s="46">
        <v>3131</v>
      </c>
      <c r="B93" s="47">
        <v>45535</v>
      </c>
      <c r="C93" s="48" t="s">
        <v>62</v>
      </c>
      <c r="D93" s="49">
        <v>330</v>
      </c>
      <c r="E93" s="44"/>
      <c r="F93" s="50" t="s">
        <v>75</v>
      </c>
      <c r="G93" s="53">
        <v>5000.0200000000004</v>
      </c>
      <c r="H93" s="52" t="s">
        <v>64</v>
      </c>
      <c r="I93" s="51">
        <v>923.07</v>
      </c>
      <c r="J93" s="45"/>
      <c r="K93" s="93">
        <f t="shared" si="1"/>
        <v>923.07</v>
      </c>
    </row>
    <row r="94" spans="1:11" customFormat="1" ht="15" x14ac:dyDescent="0.25">
      <c r="A94" s="46">
        <v>3131</v>
      </c>
      <c r="B94" s="47">
        <v>45535</v>
      </c>
      <c r="C94" s="48" t="s">
        <v>62</v>
      </c>
      <c r="D94" s="49">
        <v>330</v>
      </c>
      <c r="E94" s="44"/>
      <c r="F94" s="50" t="s">
        <v>75</v>
      </c>
      <c r="G94" s="53">
        <v>5000.0200000000004</v>
      </c>
      <c r="H94" s="52" t="s">
        <v>64</v>
      </c>
      <c r="I94" s="51">
        <v>403.85</v>
      </c>
      <c r="J94" s="45"/>
      <c r="K94" s="93">
        <f t="shared" si="1"/>
        <v>403.85</v>
      </c>
    </row>
    <row r="95" spans="1:11" customFormat="1" ht="15" x14ac:dyDescent="0.25">
      <c r="A95" s="46">
        <v>3131</v>
      </c>
      <c r="B95" s="47">
        <v>45535</v>
      </c>
      <c r="C95" s="48" t="s">
        <v>62</v>
      </c>
      <c r="D95" s="49">
        <v>330</v>
      </c>
      <c r="E95" s="44"/>
      <c r="F95" s="50" t="s">
        <v>75</v>
      </c>
      <c r="G95" s="53">
        <v>5000.0200000000004</v>
      </c>
      <c r="H95" s="52" t="s">
        <v>64</v>
      </c>
      <c r="I95" s="51">
        <v>346.15</v>
      </c>
      <c r="J95" s="45"/>
      <c r="K95" s="93">
        <f t="shared" si="1"/>
        <v>346.15</v>
      </c>
    </row>
    <row r="96" spans="1:11" customFormat="1" ht="15" x14ac:dyDescent="0.25">
      <c r="A96" s="46">
        <v>3131</v>
      </c>
      <c r="B96" s="47">
        <v>45535</v>
      </c>
      <c r="C96" s="48" t="s">
        <v>62</v>
      </c>
      <c r="D96" s="49">
        <v>330</v>
      </c>
      <c r="E96" s="44"/>
      <c r="F96" s="50" t="s">
        <v>75</v>
      </c>
      <c r="G96" s="53">
        <v>5000.0200000000004</v>
      </c>
      <c r="H96" s="52" t="s">
        <v>64</v>
      </c>
      <c r="I96" s="51">
        <v>230.77</v>
      </c>
      <c r="J96" s="45"/>
      <c r="K96" s="93">
        <f t="shared" si="1"/>
        <v>230.77</v>
      </c>
    </row>
    <row r="97" spans="1:11" customFormat="1" ht="15" x14ac:dyDescent="0.25">
      <c r="A97" s="46">
        <v>3131</v>
      </c>
      <c r="B97" s="47">
        <v>45535</v>
      </c>
      <c r="C97" s="48" t="s">
        <v>62</v>
      </c>
      <c r="D97" s="49">
        <v>330</v>
      </c>
      <c r="E97" s="44"/>
      <c r="F97" s="50" t="s">
        <v>75</v>
      </c>
      <c r="G97" s="53">
        <v>5000.0200000000004</v>
      </c>
      <c r="H97" s="52" t="s">
        <v>64</v>
      </c>
      <c r="I97" s="51">
        <v>403.85</v>
      </c>
      <c r="J97" s="45"/>
      <c r="K97" s="93">
        <f t="shared" si="1"/>
        <v>403.85</v>
      </c>
    </row>
    <row r="98" spans="1:11" customFormat="1" ht="15" x14ac:dyDescent="0.25">
      <c r="A98" s="46">
        <v>3749</v>
      </c>
      <c r="B98" s="47">
        <v>45536</v>
      </c>
      <c r="C98" s="48" t="s">
        <v>62</v>
      </c>
      <c r="D98" s="54" t="s">
        <v>85</v>
      </c>
      <c r="E98" s="44"/>
      <c r="F98" s="50" t="s">
        <v>75</v>
      </c>
      <c r="G98" s="53">
        <v>5000.0200000000004</v>
      </c>
      <c r="H98" s="52" t="s">
        <v>64</v>
      </c>
      <c r="I98" s="51">
        <v>2307.69</v>
      </c>
      <c r="J98" s="45"/>
      <c r="K98" s="93">
        <f t="shared" si="1"/>
        <v>2307.69</v>
      </c>
    </row>
    <row r="99" spans="1:11" customFormat="1" ht="15" x14ac:dyDescent="0.25">
      <c r="A99" s="46">
        <v>3749</v>
      </c>
      <c r="B99" s="47">
        <v>45536</v>
      </c>
      <c r="C99" s="48" t="s">
        <v>62</v>
      </c>
      <c r="D99" s="54" t="s">
        <v>85</v>
      </c>
      <c r="E99" s="44"/>
      <c r="F99" s="50" t="s">
        <v>75</v>
      </c>
      <c r="G99" s="53">
        <v>5000.0200000000004</v>
      </c>
      <c r="H99" s="52" t="s">
        <v>64</v>
      </c>
      <c r="I99" s="45"/>
      <c r="J99" s="51">
        <v>923.07</v>
      </c>
      <c r="K99" s="93">
        <f t="shared" si="1"/>
        <v>-923.07</v>
      </c>
    </row>
    <row r="100" spans="1:11" customFormat="1" ht="15" x14ac:dyDescent="0.25">
      <c r="A100" s="46">
        <v>3749</v>
      </c>
      <c r="B100" s="47">
        <v>45536</v>
      </c>
      <c r="C100" s="48" t="s">
        <v>62</v>
      </c>
      <c r="D100" s="54" t="s">
        <v>85</v>
      </c>
      <c r="E100" s="44"/>
      <c r="F100" s="50" t="s">
        <v>75</v>
      </c>
      <c r="G100" s="53">
        <v>5000.0200000000004</v>
      </c>
      <c r="H100" s="52" t="s">
        <v>64</v>
      </c>
      <c r="I100" s="45"/>
      <c r="J100" s="51">
        <v>403.85</v>
      </c>
      <c r="K100" s="93">
        <f t="shared" si="1"/>
        <v>-403.85</v>
      </c>
    </row>
    <row r="101" spans="1:11" customFormat="1" ht="15" x14ac:dyDescent="0.25">
      <c r="A101" s="46">
        <v>3749</v>
      </c>
      <c r="B101" s="47">
        <v>45536</v>
      </c>
      <c r="C101" s="48" t="s">
        <v>62</v>
      </c>
      <c r="D101" s="54" t="s">
        <v>85</v>
      </c>
      <c r="E101" s="44"/>
      <c r="F101" s="50" t="s">
        <v>75</v>
      </c>
      <c r="G101" s="53">
        <v>5000.0200000000004</v>
      </c>
      <c r="H101" s="52" t="s">
        <v>64</v>
      </c>
      <c r="I101" s="45"/>
      <c r="J101" s="51">
        <v>346.15</v>
      </c>
      <c r="K101" s="93">
        <f t="shared" si="1"/>
        <v>-346.15</v>
      </c>
    </row>
    <row r="102" spans="1:11" customFormat="1" ht="15" x14ac:dyDescent="0.25">
      <c r="A102" s="46">
        <v>3749</v>
      </c>
      <c r="B102" s="47">
        <v>45536</v>
      </c>
      <c r="C102" s="48" t="s">
        <v>62</v>
      </c>
      <c r="D102" s="54" t="s">
        <v>85</v>
      </c>
      <c r="E102" s="44"/>
      <c r="F102" s="50" t="s">
        <v>75</v>
      </c>
      <c r="G102" s="53">
        <v>5000.0200000000004</v>
      </c>
      <c r="H102" s="52" t="s">
        <v>64</v>
      </c>
      <c r="I102" s="45"/>
      <c r="J102" s="51">
        <v>230.77</v>
      </c>
      <c r="K102" s="93">
        <f t="shared" si="1"/>
        <v>-230.77</v>
      </c>
    </row>
    <row r="103" spans="1:11" customFormat="1" ht="15" x14ac:dyDescent="0.25">
      <c r="A103" s="46">
        <v>3749</v>
      </c>
      <c r="B103" s="47">
        <v>45536</v>
      </c>
      <c r="C103" s="48" t="s">
        <v>62</v>
      </c>
      <c r="D103" s="54" t="s">
        <v>85</v>
      </c>
      <c r="E103" s="44"/>
      <c r="F103" s="50" t="s">
        <v>75</v>
      </c>
      <c r="G103" s="53">
        <v>5000.0200000000004</v>
      </c>
      <c r="H103" s="52" t="s">
        <v>64</v>
      </c>
      <c r="I103" s="45"/>
      <c r="J103" s="51">
        <v>403.85</v>
      </c>
      <c r="K103" s="93">
        <f t="shared" si="1"/>
        <v>-403.85</v>
      </c>
    </row>
    <row r="104" spans="1:11" customFormat="1" ht="15" x14ac:dyDescent="0.25">
      <c r="A104" s="46">
        <v>3732</v>
      </c>
      <c r="B104" s="47">
        <v>45656</v>
      </c>
      <c r="C104" s="48" t="s">
        <v>62</v>
      </c>
      <c r="D104" s="49">
        <v>347</v>
      </c>
      <c r="E104" s="44"/>
      <c r="F104" s="50" t="s">
        <v>86</v>
      </c>
      <c r="G104" s="53">
        <v>5000.03</v>
      </c>
      <c r="H104" s="52" t="s">
        <v>87</v>
      </c>
      <c r="I104" s="45"/>
      <c r="J104" s="51">
        <v>38702</v>
      </c>
      <c r="K104" s="93">
        <f t="shared" ref="K104:K160" si="2">I104-J104</f>
        <v>-38702</v>
      </c>
    </row>
    <row r="105" spans="1:11" customFormat="1" ht="15" x14ac:dyDescent="0.25">
      <c r="A105" s="46">
        <v>3732</v>
      </c>
      <c r="B105" s="47">
        <v>45656</v>
      </c>
      <c r="C105" s="48" t="s">
        <v>62</v>
      </c>
      <c r="D105" s="49">
        <v>347</v>
      </c>
      <c r="E105" s="44"/>
      <c r="F105" s="50" t="s">
        <v>86</v>
      </c>
      <c r="G105" s="53">
        <v>5000.03</v>
      </c>
      <c r="H105" s="52" t="s">
        <v>87</v>
      </c>
      <c r="I105" s="51">
        <v>13748.54</v>
      </c>
      <c r="J105" s="45"/>
      <c r="K105" s="93">
        <f t="shared" si="2"/>
        <v>13748.54</v>
      </c>
    </row>
    <row r="106" spans="1:11" customFormat="1" ht="15" x14ac:dyDescent="0.25">
      <c r="A106" s="46">
        <v>3732</v>
      </c>
      <c r="B106" s="47">
        <v>45656</v>
      </c>
      <c r="C106" s="48" t="s">
        <v>62</v>
      </c>
      <c r="D106" s="49">
        <v>347</v>
      </c>
      <c r="E106" s="44"/>
      <c r="F106" s="50" t="s">
        <v>86</v>
      </c>
      <c r="G106" s="53">
        <v>5000.03</v>
      </c>
      <c r="H106" s="52" t="s">
        <v>87</v>
      </c>
      <c r="I106" s="51">
        <v>22964.86</v>
      </c>
      <c r="J106" s="45"/>
      <c r="K106" s="93">
        <f t="shared" si="2"/>
        <v>22964.86</v>
      </c>
    </row>
    <row r="107" spans="1:11" customFormat="1" ht="15" x14ac:dyDescent="0.25">
      <c r="A107" s="46">
        <v>3732</v>
      </c>
      <c r="B107" s="47">
        <v>45656</v>
      </c>
      <c r="C107" s="48" t="s">
        <v>62</v>
      </c>
      <c r="D107" s="49">
        <v>347</v>
      </c>
      <c r="E107" s="44"/>
      <c r="F107" s="50" t="s">
        <v>86</v>
      </c>
      <c r="G107" s="53">
        <v>5000.03</v>
      </c>
      <c r="H107" s="52" t="s">
        <v>87</v>
      </c>
      <c r="I107" s="51">
        <v>1762.35</v>
      </c>
      <c r="J107" s="45"/>
      <c r="K107" s="93">
        <f t="shared" si="2"/>
        <v>1762.35</v>
      </c>
    </row>
    <row r="108" spans="1:11" customFormat="1" ht="15" x14ac:dyDescent="0.25">
      <c r="A108" s="46">
        <v>3732</v>
      </c>
      <c r="B108" s="47">
        <v>45656</v>
      </c>
      <c r="C108" s="48" t="s">
        <v>62</v>
      </c>
      <c r="D108" s="49">
        <v>347</v>
      </c>
      <c r="E108" s="44"/>
      <c r="F108" s="50" t="s">
        <v>86</v>
      </c>
      <c r="G108" s="53">
        <v>5000.03</v>
      </c>
      <c r="H108" s="52" t="s">
        <v>87</v>
      </c>
      <c r="I108" s="51">
        <v>171.57</v>
      </c>
      <c r="J108" s="45"/>
      <c r="K108" s="93">
        <f t="shared" si="2"/>
        <v>171.57</v>
      </c>
    </row>
    <row r="109" spans="1:11" customFormat="1" ht="15" x14ac:dyDescent="0.25">
      <c r="A109" s="46">
        <v>3732</v>
      </c>
      <c r="B109" s="47">
        <v>45656</v>
      </c>
      <c r="C109" s="48" t="s">
        <v>62</v>
      </c>
      <c r="D109" s="49">
        <v>347</v>
      </c>
      <c r="E109" s="44"/>
      <c r="F109" s="50" t="s">
        <v>86</v>
      </c>
      <c r="G109" s="53">
        <v>5000.03</v>
      </c>
      <c r="H109" s="52" t="s">
        <v>87</v>
      </c>
      <c r="I109" s="51">
        <v>54.69</v>
      </c>
      <c r="J109" s="45"/>
      <c r="K109" s="93">
        <f t="shared" si="2"/>
        <v>54.69</v>
      </c>
    </row>
    <row r="110" spans="1:11" customFormat="1" ht="15" x14ac:dyDescent="0.25">
      <c r="A110" s="46">
        <v>3732</v>
      </c>
      <c r="B110" s="47">
        <v>45656</v>
      </c>
      <c r="C110" s="48" t="s">
        <v>62</v>
      </c>
      <c r="D110" s="49">
        <v>347</v>
      </c>
      <c r="E110" s="44"/>
      <c r="F110" s="50" t="s">
        <v>86</v>
      </c>
      <c r="G110" s="53">
        <v>5020.1000000000004</v>
      </c>
      <c r="H110" s="52" t="s">
        <v>88</v>
      </c>
      <c r="I110" s="45"/>
      <c r="J110" s="51">
        <v>3398.94</v>
      </c>
      <c r="K110" s="93">
        <f t="shared" si="2"/>
        <v>-3398.94</v>
      </c>
    </row>
    <row r="111" spans="1:11" customFormat="1" ht="15" x14ac:dyDescent="0.25">
      <c r="A111" s="46">
        <v>3732</v>
      </c>
      <c r="B111" s="47">
        <v>45656</v>
      </c>
      <c r="C111" s="48" t="s">
        <v>62</v>
      </c>
      <c r="D111" s="49">
        <v>347</v>
      </c>
      <c r="E111" s="44"/>
      <c r="F111" s="50" t="s">
        <v>86</v>
      </c>
      <c r="G111" s="53">
        <v>5020.1000000000004</v>
      </c>
      <c r="H111" s="52" t="s">
        <v>88</v>
      </c>
      <c r="I111" s="51">
        <v>1212.2</v>
      </c>
      <c r="J111" s="45"/>
      <c r="K111" s="93">
        <f t="shared" si="2"/>
        <v>1212.2</v>
      </c>
    </row>
    <row r="112" spans="1:11" customFormat="1" ht="15" x14ac:dyDescent="0.25">
      <c r="A112" s="46">
        <v>3732</v>
      </c>
      <c r="B112" s="47">
        <v>45656</v>
      </c>
      <c r="C112" s="48" t="s">
        <v>62</v>
      </c>
      <c r="D112" s="49">
        <v>347</v>
      </c>
      <c r="E112" s="44"/>
      <c r="F112" s="50" t="s">
        <v>86</v>
      </c>
      <c r="G112" s="53">
        <v>5020.1000000000004</v>
      </c>
      <c r="H112" s="52" t="s">
        <v>88</v>
      </c>
      <c r="I112" s="51">
        <v>2004.87</v>
      </c>
      <c r="J112" s="45"/>
      <c r="K112" s="93">
        <f t="shared" si="2"/>
        <v>2004.87</v>
      </c>
    </row>
    <row r="113" spans="1:11" customFormat="1" ht="15" x14ac:dyDescent="0.25">
      <c r="A113" s="46">
        <v>3732</v>
      </c>
      <c r="B113" s="47">
        <v>45656</v>
      </c>
      <c r="C113" s="48" t="s">
        <v>62</v>
      </c>
      <c r="D113" s="49">
        <v>347</v>
      </c>
      <c r="E113" s="44"/>
      <c r="F113" s="50" t="s">
        <v>86</v>
      </c>
      <c r="G113" s="53">
        <v>5020.1000000000004</v>
      </c>
      <c r="H113" s="52" t="s">
        <v>88</v>
      </c>
      <c r="I113" s="51">
        <v>161.36000000000001</v>
      </c>
      <c r="J113" s="45"/>
      <c r="K113" s="93">
        <f t="shared" si="2"/>
        <v>161.36000000000001</v>
      </c>
    </row>
    <row r="114" spans="1:11" customFormat="1" ht="15" x14ac:dyDescent="0.25">
      <c r="A114" s="46">
        <v>3732</v>
      </c>
      <c r="B114" s="47">
        <v>45656</v>
      </c>
      <c r="C114" s="48" t="s">
        <v>62</v>
      </c>
      <c r="D114" s="49">
        <v>347</v>
      </c>
      <c r="E114" s="44"/>
      <c r="F114" s="50" t="s">
        <v>86</v>
      </c>
      <c r="G114" s="53">
        <v>5020.1000000000004</v>
      </c>
      <c r="H114" s="52" t="s">
        <v>88</v>
      </c>
      <c r="I114" s="51">
        <v>16.09</v>
      </c>
      <c r="J114" s="45"/>
      <c r="K114" s="93">
        <f t="shared" si="2"/>
        <v>16.09</v>
      </c>
    </row>
    <row r="115" spans="1:11" customFormat="1" ht="15" x14ac:dyDescent="0.25">
      <c r="A115" s="46">
        <v>3732</v>
      </c>
      <c r="B115" s="47">
        <v>45656</v>
      </c>
      <c r="C115" s="48" t="s">
        <v>62</v>
      </c>
      <c r="D115" s="49">
        <v>347</v>
      </c>
      <c r="E115" s="44"/>
      <c r="F115" s="50" t="s">
        <v>86</v>
      </c>
      <c r="G115" s="53">
        <v>5020.1000000000004</v>
      </c>
      <c r="H115" s="52" t="s">
        <v>88</v>
      </c>
      <c r="I115" s="51">
        <v>4.41</v>
      </c>
      <c r="J115" s="45"/>
      <c r="K115" s="93">
        <f t="shared" si="2"/>
        <v>4.41</v>
      </c>
    </row>
    <row r="116" spans="1:11" customFormat="1" ht="15" x14ac:dyDescent="0.25">
      <c r="A116" s="46">
        <v>3733</v>
      </c>
      <c r="B116" s="47">
        <v>45656</v>
      </c>
      <c r="C116" s="48" t="s">
        <v>62</v>
      </c>
      <c r="D116" s="49">
        <v>348</v>
      </c>
      <c r="E116" s="44"/>
      <c r="F116" s="50" t="s">
        <v>86</v>
      </c>
      <c r="G116" s="53">
        <v>5000.04</v>
      </c>
      <c r="H116" s="52" t="s">
        <v>89</v>
      </c>
      <c r="I116" s="45"/>
      <c r="J116" s="51">
        <v>52167.03</v>
      </c>
      <c r="K116" s="93">
        <f t="shared" si="2"/>
        <v>-52167.03</v>
      </c>
    </row>
    <row r="117" spans="1:11" customFormat="1" ht="15" x14ac:dyDescent="0.25">
      <c r="A117" s="46">
        <v>3733</v>
      </c>
      <c r="B117" s="47">
        <v>45656</v>
      </c>
      <c r="C117" s="48" t="s">
        <v>62</v>
      </c>
      <c r="D117" s="49">
        <v>348</v>
      </c>
      <c r="E117" s="44"/>
      <c r="F117" s="50" t="s">
        <v>86</v>
      </c>
      <c r="G117" s="53">
        <v>5000.04</v>
      </c>
      <c r="H117" s="52" t="s">
        <v>89</v>
      </c>
      <c r="I117" s="51">
        <v>1537.28</v>
      </c>
      <c r="J117" s="45"/>
      <c r="K117" s="93">
        <f t="shared" si="2"/>
        <v>1537.28</v>
      </c>
    </row>
    <row r="118" spans="1:11" customFormat="1" ht="15" x14ac:dyDescent="0.25">
      <c r="A118" s="46">
        <v>3733</v>
      </c>
      <c r="B118" s="47">
        <v>45656</v>
      </c>
      <c r="C118" s="48" t="s">
        <v>62</v>
      </c>
      <c r="D118" s="49">
        <v>348</v>
      </c>
      <c r="E118" s="44"/>
      <c r="F118" s="50" t="s">
        <v>86</v>
      </c>
      <c r="G118" s="53">
        <v>5000.04</v>
      </c>
      <c r="H118" s="52" t="s">
        <v>89</v>
      </c>
      <c r="I118" s="51">
        <v>23772.62</v>
      </c>
      <c r="J118" s="45"/>
      <c r="K118" s="93">
        <f t="shared" si="2"/>
        <v>23772.62</v>
      </c>
    </row>
    <row r="119" spans="1:11" customFormat="1" ht="15" x14ac:dyDescent="0.25">
      <c r="A119" s="46">
        <v>3733</v>
      </c>
      <c r="B119" s="47">
        <v>45656</v>
      </c>
      <c r="C119" s="48" t="s">
        <v>62</v>
      </c>
      <c r="D119" s="49">
        <v>348</v>
      </c>
      <c r="E119" s="44"/>
      <c r="F119" s="50" t="s">
        <v>86</v>
      </c>
      <c r="G119" s="53">
        <v>5000.04</v>
      </c>
      <c r="H119" s="52" t="s">
        <v>89</v>
      </c>
      <c r="I119" s="51">
        <v>213.51</v>
      </c>
      <c r="J119" s="45"/>
      <c r="K119" s="93">
        <f t="shared" si="2"/>
        <v>213.51</v>
      </c>
    </row>
    <row r="120" spans="1:11" customFormat="1" ht="15" x14ac:dyDescent="0.25">
      <c r="A120" s="46">
        <v>3733</v>
      </c>
      <c r="B120" s="47">
        <v>45656</v>
      </c>
      <c r="C120" s="48" t="s">
        <v>62</v>
      </c>
      <c r="D120" s="49">
        <v>348</v>
      </c>
      <c r="E120" s="44"/>
      <c r="F120" s="50" t="s">
        <v>86</v>
      </c>
      <c r="G120" s="53">
        <v>5000.04</v>
      </c>
      <c r="H120" s="52" t="s">
        <v>89</v>
      </c>
      <c r="I120" s="51">
        <v>4316.53</v>
      </c>
      <c r="J120" s="45"/>
      <c r="K120" s="93">
        <f t="shared" si="2"/>
        <v>4316.53</v>
      </c>
    </row>
    <row r="121" spans="1:11" customFormat="1" ht="15" x14ac:dyDescent="0.25">
      <c r="A121" s="46">
        <v>3733</v>
      </c>
      <c r="B121" s="47">
        <v>45656</v>
      </c>
      <c r="C121" s="48" t="s">
        <v>62</v>
      </c>
      <c r="D121" s="49">
        <v>348</v>
      </c>
      <c r="E121" s="44"/>
      <c r="F121" s="50" t="s">
        <v>86</v>
      </c>
      <c r="G121" s="53">
        <v>5000.04</v>
      </c>
      <c r="H121" s="52" t="s">
        <v>89</v>
      </c>
      <c r="I121" s="51">
        <v>4736.93</v>
      </c>
      <c r="J121" s="45"/>
      <c r="K121" s="93">
        <f t="shared" si="2"/>
        <v>4736.93</v>
      </c>
    </row>
    <row r="122" spans="1:11" customFormat="1" ht="15" x14ac:dyDescent="0.25">
      <c r="A122" s="46">
        <v>3733</v>
      </c>
      <c r="B122" s="47">
        <v>45656</v>
      </c>
      <c r="C122" s="48" t="s">
        <v>62</v>
      </c>
      <c r="D122" s="49">
        <v>348</v>
      </c>
      <c r="E122" s="44"/>
      <c r="F122" s="50" t="s">
        <v>86</v>
      </c>
      <c r="G122" s="53">
        <v>5000.04</v>
      </c>
      <c r="H122" s="52" t="s">
        <v>89</v>
      </c>
      <c r="I122" s="51">
        <v>12000.4</v>
      </c>
      <c r="J122" s="45"/>
      <c r="K122" s="93">
        <f t="shared" si="2"/>
        <v>12000.4</v>
      </c>
    </row>
    <row r="123" spans="1:11" customFormat="1" ht="15" x14ac:dyDescent="0.25">
      <c r="A123" s="46">
        <v>3733</v>
      </c>
      <c r="B123" s="47">
        <v>45656</v>
      </c>
      <c r="C123" s="48" t="s">
        <v>62</v>
      </c>
      <c r="D123" s="49">
        <v>348</v>
      </c>
      <c r="E123" s="44"/>
      <c r="F123" s="50" t="s">
        <v>86</v>
      </c>
      <c r="G123" s="53">
        <v>5000.04</v>
      </c>
      <c r="H123" s="52" t="s">
        <v>89</v>
      </c>
      <c r="I123" s="51">
        <v>2344.4</v>
      </c>
      <c r="J123" s="45"/>
      <c r="K123" s="93">
        <f t="shared" si="2"/>
        <v>2344.4</v>
      </c>
    </row>
    <row r="124" spans="1:11" customFormat="1" ht="15" x14ac:dyDescent="0.25">
      <c r="A124" s="46">
        <v>3733</v>
      </c>
      <c r="B124" s="47">
        <v>45656</v>
      </c>
      <c r="C124" s="48" t="s">
        <v>62</v>
      </c>
      <c r="D124" s="49">
        <v>348</v>
      </c>
      <c r="E124" s="44"/>
      <c r="F124" s="50" t="s">
        <v>86</v>
      </c>
      <c r="G124" s="53">
        <v>5000.04</v>
      </c>
      <c r="H124" s="52" t="s">
        <v>89</v>
      </c>
      <c r="I124" s="51">
        <v>3245.37</v>
      </c>
      <c r="J124" s="45"/>
      <c r="K124" s="93">
        <f t="shared" si="2"/>
        <v>3245.37</v>
      </c>
    </row>
    <row r="125" spans="1:11" customFormat="1" ht="15" x14ac:dyDescent="0.25">
      <c r="A125" s="46">
        <v>3733</v>
      </c>
      <c r="B125" s="47">
        <v>45656</v>
      </c>
      <c r="C125" s="48" t="s">
        <v>62</v>
      </c>
      <c r="D125" s="49">
        <v>348</v>
      </c>
      <c r="E125" s="44"/>
      <c r="F125" s="50" t="s">
        <v>86</v>
      </c>
      <c r="G125" s="53">
        <v>5020.1000000000004</v>
      </c>
      <c r="H125" s="52" t="s">
        <v>90</v>
      </c>
      <c r="I125" s="45"/>
      <c r="J125" s="51">
        <v>4429.04</v>
      </c>
      <c r="K125" s="93">
        <f t="shared" si="2"/>
        <v>-4429.04</v>
      </c>
    </row>
    <row r="126" spans="1:11" customFormat="1" ht="15" x14ac:dyDescent="0.25">
      <c r="A126" s="46">
        <v>3733</v>
      </c>
      <c r="B126" s="47">
        <v>45656</v>
      </c>
      <c r="C126" s="48" t="s">
        <v>62</v>
      </c>
      <c r="D126" s="49">
        <v>348</v>
      </c>
      <c r="E126" s="44"/>
      <c r="F126" s="50" t="s">
        <v>86</v>
      </c>
      <c r="G126" s="53">
        <v>5020.1000000000004</v>
      </c>
      <c r="H126" s="52" t="s">
        <v>90</v>
      </c>
      <c r="I126" s="51">
        <v>142.22</v>
      </c>
      <c r="J126" s="45"/>
      <c r="K126" s="93">
        <f t="shared" si="2"/>
        <v>142.22</v>
      </c>
    </row>
    <row r="127" spans="1:11" customFormat="1" ht="15" x14ac:dyDescent="0.25">
      <c r="A127" s="46">
        <v>3733</v>
      </c>
      <c r="B127" s="47">
        <v>45656</v>
      </c>
      <c r="C127" s="48" t="s">
        <v>62</v>
      </c>
      <c r="D127" s="49">
        <v>348</v>
      </c>
      <c r="E127" s="44"/>
      <c r="F127" s="50" t="s">
        <v>86</v>
      </c>
      <c r="G127" s="53">
        <v>5020.1000000000004</v>
      </c>
      <c r="H127" s="52" t="s">
        <v>90</v>
      </c>
      <c r="I127" s="51">
        <v>1996.27</v>
      </c>
      <c r="J127" s="45"/>
      <c r="K127" s="93">
        <f t="shared" si="2"/>
        <v>1996.27</v>
      </c>
    </row>
    <row r="128" spans="1:11" customFormat="1" ht="15" x14ac:dyDescent="0.25">
      <c r="A128" s="46">
        <v>3733</v>
      </c>
      <c r="B128" s="47">
        <v>45656</v>
      </c>
      <c r="C128" s="48" t="s">
        <v>62</v>
      </c>
      <c r="D128" s="49">
        <v>348</v>
      </c>
      <c r="E128" s="48"/>
      <c r="F128" s="50" t="s">
        <v>86</v>
      </c>
      <c r="G128" s="53">
        <v>5020.1000000000004</v>
      </c>
      <c r="H128" s="52" t="s">
        <v>90</v>
      </c>
      <c r="I128" s="51">
        <v>19.75</v>
      </c>
      <c r="J128" s="45"/>
      <c r="K128" s="93">
        <f t="shared" si="2"/>
        <v>19.75</v>
      </c>
    </row>
    <row r="129" spans="1:11" customFormat="1" ht="15" x14ac:dyDescent="0.25">
      <c r="A129" s="46">
        <v>3733</v>
      </c>
      <c r="B129" s="47">
        <v>45656</v>
      </c>
      <c r="C129" s="48" t="s">
        <v>62</v>
      </c>
      <c r="D129" s="49">
        <v>348</v>
      </c>
      <c r="E129" s="48"/>
      <c r="F129" s="50" t="s">
        <v>86</v>
      </c>
      <c r="G129" s="53">
        <v>5020.1000000000004</v>
      </c>
      <c r="H129" s="52" t="s">
        <v>90</v>
      </c>
      <c r="I129" s="51">
        <v>347.46</v>
      </c>
      <c r="J129" s="45"/>
      <c r="K129" s="93">
        <f t="shared" si="2"/>
        <v>347.46</v>
      </c>
    </row>
    <row r="130" spans="1:11" customFormat="1" ht="15" x14ac:dyDescent="0.25">
      <c r="A130" s="46">
        <v>3733</v>
      </c>
      <c r="B130" s="47">
        <v>45656</v>
      </c>
      <c r="C130" s="48" t="s">
        <v>62</v>
      </c>
      <c r="D130" s="49">
        <v>348</v>
      </c>
      <c r="E130" s="48"/>
      <c r="F130" s="50" t="s">
        <v>86</v>
      </c>
      <c r="G130" s="53">
        <v>5020.1000000000004</v>
      </c>
      <c r="H130" s="52" t="s">
        <v>90</v>
      </c>
      <c r="I130" s="51">
        <v>402.31</v>
      </c>
      <c r="J130" s="45"/>
      <c r="K130" s="93">
        <f t="shared" si="2"/>
        <v>402.31</v>
      </c>
    </row>
    <row r="131" spans="1:11" customFormat="1" ht="15" x14ac:dyDescent="0.25">
      <c r="A131" s="46">
        <v>3733</v>
      </c>
      <c r="B131" s="47">
        <v>45656</v>
      </c>
      <c r="C131" s="48" t="s">
        <v>62</v>
      </c>
      <c r="D131" s="49">
        <v>348</v>
      </c>
      <c r="E131" s="48"/>
      <c r="F131" s="50" t="s">
        <v>86</v>
      </c>
      <c r="G131" s="53">
        <v>5020.1000000000004</v>
      </c>
      <c r="H131" s="52" t="s">
        <v>90</v>
      </c>
      <c r="I131" s="51">
        <v>1034.98</v>
      </c>
      <c r="J131" s="45"/>
      <c r="K131" s="93">
        <f t="shared" si="2"/>
        <v>1034.98</v>
      </c>
    </row>
    <row r="132" spans="1:11" customFormat="1" ht="15" x14ac:dyDescent="0.25">
      <c r="A132" s="46">
        <v>3733</v>
      </c>
      <c r="B132" s="47">
        <v>45656</v>
      </c>
      <c r="C132" s="48" t="s">
        <v>62</v>
      </c>
      <c r="D132" s="49">
        <v>348</v>
      </c>
      <c r="E132" s="48"/>
      <c r="F132" s="50" t="s">
        <v>86</v>
      </c>
      <c r="G132" s="53">
        <v>5020.1000000000004</v>
      </c>
      <c r="H132" s="52" t="s">
        <v>90</v>
      </c>
      <c r="I132" s="51">
        <v>185.8</v>
      </c>
      <c r="J132" s="45"/>
      <c r="K132" s="93">
        <f t="shared" si="2"/>
        <v>185.8</v>
      </c>
    </row>
    <row r="133" spans="1:11" customFormat="1" ht="15" x14ac:dyDescent="0.25">
      <c r="A133" s="46">
        <v>3733</v>
      </c>
      <c r="B133" s="47">
        <v>45656</v>
      </c>
      <c r="C133" s="48" t="s">
        <v>62</v>
      </c>
      <c r="D133" s="49">
        <v>348</v>
      </c>
      <c r="E133" s="48"/>
      <c r="F133" s="50" t="s">
        <v>86</v>
      </c>
      <c r="G133" s="53">
        <v>5020.1000000000004</v>
      </c>
      <c r="H133" s="52" t="s">
        <v>90</v>
      </c>
      <c r="I133" s="51">
        <v>300.24</v>
      </c>
      <c r="J133" s="45"/>
      <c r="K133" s="93">
        <f t="shared" si="2"/>
        <v>300.24</v>
      </c>
    </row>
    <row r="134" spans="1:11" customFormat="1" ht="15" x14ac:dyDescent="0.25">
      <c r="A134" s="46">
        <v>3734</v>
      </c>
      <c r="B134" s="47">
        <v>45656</v>
      </c>
      <c r="C134" s="48" t="s">
        <v>62</v>
      </c>
      <c r="D134" s="49">
        <v>349</v>
      </c>
      <c r="F134" s="50" t="s">
        <v>86</v>
      </c>
      <c r="G134" s="61">
        <v>5000.05</v>
      </c>
      <c r="H134" s="48" t="s">
        <v>91</v>
      </c>
      <c r="I134" s="45"/>
      <c r="J134" s="51">
        <v>85000</v>
      </c>
      <c r="K134" s="93">
        <f t="shared" si="2"/>
        <v>-85000</v>
      </c>
    </row>
    <row r="135" spans="1:11" customFormat="1" ht="15" x14ac:dyDescent="0.25">
      <c r="A135" s="46">
        <v>3734</v>
      </c>
      <c r="B135" s="47">
        <v>45656</v>
      </c>
      <c r="C135" s="48" t="s">
        <v>62</v>
      </c>
      <c r="D135" s="49">
        <v>349</v>
      </c>
      <c r="F135" s="48" t="s">
        <v>92</v>
      </c>
      <c r="G135" s="61">
        <v>5000.05</v>
      </c>
      <c r="H135" s="48" t="s">
        <v>93</v>
      </c>
      <c r="I135" s="51">
        <v>68349.3</v>
      </c>
      <c r="J135" s="45"/>
      <c r="K135" s="93">
        <f t="shared" si="2"/>
        <v>68349.3</v>
      </c>
    </row>
    <row r="136" spans="1:11" customFormat="1" ht="15" x14ac:dyDescent="0.25">
      <c r="A136" s="46">
        <v>3734</v>
      </c>
      <c r="B136" s="47">
        <v>45656</v>
      </c>
      <c r="C136" s="48" t="s">
        <v>62</v>
      </c>
      <c r="D136" s="49">
        <v>349</v>
      </c>
      <c r="F136" s="48" t="s">
        <v>92</v>
      </c>
      <c r="G136" s="61">
        <v>5000.05</v>
      </c>
      <c r="H136" s="48" t="s">
        <v>93</v>
      </c>
      <c r="I136" s="51">
        <v>7198.14</v>
      </c>
      <c r="J136" s="45"/>
      <c r="K136" s="93">
        <f t="shared" si="2"/>
        <v>7198.14</v>
      </c>
    </row>
    <row r="137" spans="1:11" customFormat="1" ht="15" x14ac:dyDescent="0.25">
      <c r="A137" s="46">
        <v>3734</v>
      </c>
      <c r="B137" s="47">
        <v>45656</v>
      </c>
      <c r="C137" s="48" t="s">
        <v>62</v>
      </c>
      <c r="D137" s="49">
        <v>349</v>
      </c>
      <c r="F137" s="48" t="s">
        <v>92</v>
      </c>
      <c r="G137" s="61">
        <v>5000.05</v>
      </c>
      <c r="H137" s="48" t="s">
        <v>93</v>
      </c>
      <c r="I137" s="51">
        <v>6496.62</v>
      </c>
      <c r="J137" s="45"/>
      <c r="K137" s="93">
        <f t="shared" si="2"/>
        <v>6496.62</v>
      </c>
    </row>
    <row r="138" spans="1:11" customFormat="1" ht="15" x14ac:dyDescent="0.25">
      <c r="A138" s="46">
        <v>3734</v>
      </c>
      <c r="B138" s="47">
        <v>45656</v>
      </c>
      <c r="C138" s="48" t="s">
        <v>62</v>
      </c>
      <c r="D138" s="49">
        <v>349</v>
      </c>
      <c r="F138" s="48" t="s">
        <v>92</v>
      </c>
      <c r="G138" s="61">
        <v>5000.05</v>
      </c>
      <c r="H138" s="48" t="s">
        <v>93</v>
      </c>
      <c r="I138" s="51">
        <v>2535.6</v>
      </c>
      <c r="J138" s="45"/>
      <c r="K138" s="93">
        <f t="shared" si="2"/>
        <v>2535.6</v>
      </c>
    </row>
    <row r="139" spans="1:11" customFormat="1" ht="15" x14ac:dyDescent="0.25">
      <c r="A139" s="46">
        <v>3734</v>
      </c>
      <c r="B139" s="47">
        <v>45656</v>
      </c>
      <c r="C139" s="48" t="s">
        <v>62</v>
      </c>
      <c r="D139" s="49">
        <v>349</v>
      </c>
      <c r="F139" s="48" t="s">
        <v>92</v>
      </c>
      <c r="G139" s="61">
        <v>5000.05</v>
      </c>
      <c r="H139" s="48" t="s">
        <v>93</v>
      </c>
      <c r="I139" s="51">
        <v>420.34</v>
      </c>
      <c r="J139" s="45"/>
      <c r="K139" s="93">
        <f t="shared" si="2"/>
        <v>420.34</v>
      </c>
    </row>
    <row r="140" spans="1:11" customFormat="1" ht="15" x14ac:dyDescent="0.25">
      <c r="A140" s="46">
        <v>3734</v>
      </c>
      <c r="B140" s="47">
        <v>45656</v>
      </c>
      <c r="C140" s="48" t="s">
        <v>62</v>
      </c>
      <c r="D140" s="49">
        <v>349</v>
      </c>
      <c r="F140" s="48" t="s">
        <v>92</v>
      </c>
      <c r="G140" s="61">
        <v>5020.1000000000004</v>
      </c>
      <c r="H140" s="48" t="s">
        <v>94</v>
      </c>
      <c r="I140" s="45"/>
      <c r="J140" s="51">
        <v>6940.75</v>
      </c>
      <c r="K140" s="93">
        <f t="shared" si="2"/>
        <v>-6940.75</v>
      </c>
    </row>
    <row r="141" spans="1:11" customFormat="1" ht="15" x14ac:dyDescent="0.25">
      <c r="A141" s="46">
        <v>3734</v>
      </c>
      <c r="B141" s="47">
        <v>45656</v>
      </c>
      <c r="C141" s="48" t="s">
        <v>62</v>
      </c>
      <c r="D141" s="49">
        <v>349</v>
      </c>
      <c r="F141" s="48" t="s">
        <v>92</v>
      </c>
      <c r="G141" s="61">
        <v>5020.1000000000004</v>
      </c>
      <c r="H141" s="48" t="s">
        <v>94</v>
      </c>
      <c r="I141" s="51">
        <v>5599.11</v>
      </c>
      <c r="J141" s="45"/>
      <c r="K141" s="93">
        <f t="shared" si="2"/>
        <v>5599.11</v>
      </c>
    </row>
    <row r="142" spans="1:11" customFormat="1" ht="15" x14ac:dyDescent="0.25">
      <c r="A142" s="46">
        <v>3734</v>
      </c>
      <c r="B142" s="47">
        <v>45656</v>
      </c>
      <c r="C142" s="48" t="s">
        <v>62</v>
      </c>
      <c r="D142" s="49">
        <v>349</v>
      </c>
      <c r="F142" s="48" t="s">
        <v>92</v>
      </c>
      <c r="G142" s="61">
        <v>5020.1000000000004</v>
      </c>
      <c r="H142" s="48" t="s">
        <v>94</v>
      </c>
      <c r="I142" s="51">
        <v>584.88</v>
      </c>
      <c r="J142" s="45"/>
      <c r="K142" s="93">
        <f t="shared" si="2"/>
        <v>584.88</v>
      </c>
    </row>
    <row r="143" spans="1:11" customFormat="1" ht="15" x14ac:dyDescent="0.25">
      <c r="A143" s="46">
        <v>3734</v>
      </c>
      <c r="B143" s="47">
        <v>45656</v>
      </c>
      <c r="C143" s="48" t="s">
        <v>62</v>
      </c>
      <c r="D143" s="49">
        <v>349</v>
      </c>
      <c r="F143" s="48" t="s">
        <v>92</v>
      </c>
      <c r="G143" s="61">
        <v>5020.1000000000004</v>
      </c>
      <c r="H143" s="48" t="s">
        <v>94</v>
      </c>
      <c r="I143" s="51">
        <v>519.44000000000005</v>
      </c>
      <c r="J143" s="45"/>
      <c r="K143" s="93">
        <f t="shared" si="2"/>
        <v>519.44000000000005</v>
      </c>
    </row>
    <row r="144" spans="1:11" customFormat="1" ht="15" x14ac:dyDescent="0.25">
      <c r="A144" s="46">
        <v>3734</v>
      </c>
      <c r="B144" s="47">
        <v>45656</v>
      </c>
      <c r="C144" s="48" t="s">
        <v>62</v>
      </c>
      <c r="D144" s="49">
        <v>349</v>
      </c>
      <c r="F144" s="48" t="s">
        <v>92</v>
      </c>
      <c r="G144" s="61">
        <v>5020.1000000000004</v>
      </c>
      <c r="H144" s="48" t="s">
        <v>94</v>
      </c>
      <c r="I144" s="51">
        <v>199.01</v>
      </c>
      <c r="J144" s="45"/>
      <c r="K144" s="93">
        <f t="shared" si="2"/>
        <v>199.01</v>
      </c>
    </row>
    <row r="145" spans="1:11" customFormat="1" ht="15" x14ac:dyDescent="0.25">
      <c r="A145" s="46">
        <v>3734</v>
      </c>
      <c r="B145" s="47">
        <v>45656</v>
      </c>
      <c r="C145" s="48" t="s">
        <v>62</v>
      </c>
      <c r="D145" s="49">
        <v>349</v>
      </c>
      <c r="F145" s="48" t="s">
        <v>92</v>
      </c>
      <c r="G145" s="61">
        <v>5020.1000000000004</v>
      </c>
      <c r="H145" s="48" t="s">
        <v>94</v>
      </c>
      <c r="I145" s="51">
        <v>38.31</v>
      </c>
      <c r="J145" s="45"/>
      <c r="K145" s="93">
        <f t="shared" si="2"/>
        <v>38.31</v>
      </c>
    </row>
    <row r="146" spans="1:11" ht="15" x14ac:dyDescent="0.25">
      <c r="A146" s="75">
        <v>4070</v>
      </c>
      <c r="B146" s="76">
        <v>45656</v>
      </c>
      <c r="C146" s="77" t="s">
        <v>126</v>
      </c>
      <c r="D146" s="78">
        <v>364</v>
      </c>
      <c r="E146" s="79"/>
      <c r="F146" s="79"/>
      <c r="G146" s="80">
        <v>1300.01</v>
      </c>
      <c r="H146" s="77" t="s">
        <v>127</v>
      </c>
      <c r="I146" s="81"/>
      <c r="J146" s="82">
        <v>4343.22</v>
      </c>
      <c r="K146" s="93">
        <f t="shared" si="2"/>
        <v>-4343.22</v>
      </c>
    </row>
    <row r="147" spans="1:11" ht="15" x14ac:dyDescent="0.25">
      <c r="A147" s="75">
        <v>4070</v>
      </c>
      <c r="B147" s="76">
        <v>45656</v>
      </c>
      <c r="C147" s="77" t="s">
        <v>126</v>
      </c>
      <c r="D147" s="78">
        <v>364</v>
      </c>
      <c r="E147" s="79"/>
      <c r="F147" s="79"/>
      <c r="G147" s="80">
        <v>3020</v>
      </c>
      <c r="H147" s="77" t="s">
        <v>128</v>
      </c>
      <c r="I147" s="82">
        <v>4343.22</v>
      </c>
      <c r="J147" s="81"/>
      <c r="K147" s="93">
        <f t="shared" si="2"/>
        <v>4343.22</v>
      </c>
    </row>
    <row r="148" spans="1:11" ht="15" x14ac:dyDescent="0.25">
      <c r="A148" s="75">
        <v>4070</v>
      </c>
      <c r="B148" s="76">
        <v>45656</v>
      </c>
      <c r="C148" s="77" t="s">
        <v>126</v>
      </c>
      <c r="D148" s="78">
        <v>364</v>
      </c>
      <c r="E148" s="79"/>
      <c r="F148" s="79"/>
      <c r="G148" s="80">
        <v>2171</v>
      </c>
      <c r="H148" s="77" t="s">
        <v>129</v>
      </c>
      <c r="I148" s="81"/>
      <c r="J148" s="82">
        <v>900</v>
      </c>
      <c r="K148" s="93">
        <f t="shared" si="2"/>
        <v>-900</v>
      </c>
    </row>
    <row r="149" spans="1:11" ht="15" x14ac:dyDescent="0.25">
      <c r="A149" s="75">
        <v>4070</v>
      </c>
      <c r="B149" s="76">
        <v>45656</v>
      </c>
      <c r="C149" s="77" t="s">
        <v>126</v>
      </c>
      <c r="D149" s="78">
        <v>364</v>
      </c>
      <c r="E149" s="79"/>
      <c r="F149" s="79"/>
      <c r="G149" s="80">
        <v>4134</v>
      </c>
      <c r="H149" s="77" t="s">
        <v>130</v>
      </c>
      <c r="I149" s="82">
        <v>900</v>
      </c>
      <c r="J149" s="81"/>
      <c r="K149" s="93">
        <f t="shared" si="2"/>
        <v>900</v>
      </c>
    </row>
    <row r="150" spans="1:11" customFormat="1" ht="15" x14ac:dyDescent="0.25">
      <c r="A150" s="46">
        <v>3678</v>
      </c>
      <c r="B150" s="47">
        <v>45657</v>
      </c>
      <c r="C150" s="48" t="s">
        <v>62</v>
      </c>
      <c r="D150" s="49">
        <v>346</v>
      </c>
      <c r="E150" s="44"/>
      <c r="F150" s="48" t="s">
        <v>96</v>
      </c>
      <c r="G150" s="61">
        <v>5220.03</v>
      </c>
      <c r="H150" s="48" t="s">
        <v>97</v>
      </c>
      <c r="I150" s="51">
        <v>47767</v>
      </c>
      <c r="J150" s="45"/>
      <c r="K150" s="93">
        <f t="shared" si="2"/>
        <v>47767</v>
      </c>
    </row>
    <row r="151" spans="1:11" customFormat="1" ht="15" x14ac:dyDescent="0.25">
      <c r="A151" s="46">
        <v>3678</v>
      </c>
      <c r="B151" s="47">
        <v>45657</v>
      </c>
      <c r="C151" s="48" t="s">
        <v>62</v>
      </c>
      <c r="D151" s="49">
        <v>346</v>
      </c>
      <c r="E151" s="44"/>
      <c r="F151" s="48" t="s">
        <v>98</v>
      </c>
      <c r="G151" s="61">
        <v>1200</v>
      </c>
      <c r="H151" s="48" t="s">
        <v>99</v>
      </c>
      <c r="I151" s="45"/>
      <c r="J151" s="51">
        <v>47767</v>
      </c>
      <c r="K151" s="93">
        <f t="shared" si="2"/>
        <v>-47767</v>
      </c>
    </row>
    <row r="152" spans="1:11" customFormat="1" ht="15" x14ac:dyDescent="0.25">
      <c r="A152" s="46">
        <v>3678</v>
      </c>
      <c r="B152" s="47">
        <v>45657</v>
      </c>
      <c r="C152" s="48" t="s">
        <v>62</v>
      </c>
      <c r="D152" s="49">
        <v>346</v>
      </c>
      <c r="E152" s="44"/>
      <c r="F152" s="48" t="s">
        <v>100</v>
      </c>
      <c r="G152" s="61">
        <v>5220.03</v>
      </c>
      <c r="H152" s="48" t="s">
        <v>97</v>
      </c>
      <c r="I152" s="45"/>
      <c r="J152" s="51">
        <v>28492</v>
      </c>
      <c r="K152" s="93">
        <f t="shared" si="2"/>
        <v>-28492</v>
      </c>
    </row>
    <row r="153" spans="1:11" customFormat="1" ht="15" x14ac:dyDescent="0.25">
      <c r="A153" s="46">
        <v>3678</v>
      </c>
      <c r="B153" s="47">
        <v>45657</v>
      </c>
      <c r="C153" s="48" t="s">
        <v>62</v>
      </c>
      <c r="D153" s="49">
        <v>346</v>
      </c>
      <c r="E153" s="44"/>
      <c r="F153" s="48" t="s">
        <v>100</v>
      </c>
      <c r="G153" s="61">
        <v>1200</v>
      </c>
      <c r="H153" s="48" t="s">
        <v>99</v>
      </c>
      <c r="I153" s="51">
        <v>28492</v>
      </c>
      <c r="J153" s="45"/>
      <c r="K153" s="93">
        <f t="shared" si="2"/>
        <v>28492</v>
      </c>
    </row>
    <row r="154" spans="1:11" customFormat="1" ht="15" x14ac:dyDescent="0.25">
      <c r="A154" s="46">
        <v>3678</v>
      </c>
      <c r="B154" s="47">
        <v>45657</v>
      </c>
      <c r="C154" s="48" t="s">
        <v>62</v>
      </c>
      <c r="D154" s="49">
        <v>346</v>
      </c>
      <c r="E154" s="44"/>
      <c r="F154" s="48" t="s">
        <v>101</v>
      </c>
      <c r="G154" s="61">
        <v>5220.01</v>
      </c>
      <c r="H154" s="48" t="s">
        <v>102</v>
      </c>
      <c r="I154" s="45"/>
      <c r="J154" s="51">
        <v>931.5</v>
      </c>
      <c r="K154" s="93">
        <f t="shared" si="2"/>
        <v>-931.5</v>
      </c>
    </row>
    <row r="155" spans="1:11" customFormat="1" ht="15" x14ac:dyDescent="0.25">
      <c r="A155" s="46">
        <v>3678</v>
      </c>
      <c r="B155" s="47">
        <v>45657</v>
      </c>
      <c r="C155" s="48" t="s">
        <v>62</v>
      </c>
      <c r="D155" s="49">
        <v>346</v>
      </c>
      <c r="E155" s="44"/>
      <c r="F155" s="48" t="s">
        <v>101</v>
      </c>
      <c r="G155" s="61">
        <v>1200</v>
      </c>
      <c r="H155" s="48" t="s">
        <v>99</v>
      </c>
      <c r="I155" s="51">
        <v>931.5</v>
      </c>
      <c r="J155" s="45"/>
      <c r="K155" s="93">
        <f t="shared" si="2"/>
        <v>931.5</v>
      </c>
    </row>
    <row r="156" spans="1:11" ht="15" x14ac:dyDescent="0.25">
      <c r="A156" s="75">
        <v>3822</v>
      </c>
      <c r="B156" s="83">
        <v>45657</v>
      </c>
      <c r="C156" s="84" t="s">
        <v>126</v>
      </c>
      <c r="D156" s="85">
        <v>350</v>
      </c>
      <c r="E156" s="79"/>
      <c r="F156" s="84" t="s">
        <v>158</v>
      </c>
      <c r="G156" s="86">
        <v>4120.04</v>
      </c>
      <c r="H156" s="84" t="s">
        <v>159</v>
      </c>
      <c r="I156" s="87">
        <v>10782.9</v>
      </c>
      <c r="J156" s="81"/>
      <c r="K156" s="93">
        <f t="shared" si="2"/>
        <v>10782.9</v>
      </c>
    </row>
    <row r="157" spans="1:11" ht="15" x14ac:dyDescent="0.25">
      <c r="A157" s="75">
        <v>3822</v>
      </c>
      <c r="B157" s="83">
        <v>45657</v>
      </c>
      <c r="C157" s="84" t="s">
        <v>126</v>
      </c>
      <c r="D157" s="85">
        <v>350</v>
      </c>
      <c r="E157" s="79"/>
      <c r="F157" s="84" t="s">
        <v>158</v>
      </c>
      <c r="G157" s="86">
        <v>4150</v>
      </c>
      <c r="H157" s="84" t="s">
        <v>160</v>
      </c>
      <c r="I157" s="81"/>
      <c r="J157" s="87">
        <v>10782.9</v>
      </c>
      <c r="K157" s="93">
        <f t="shared" si="2"/>
        <v>-10782.9</v>
      </c>
    </row>
    <row r="158" spans="1:11" ht="15" x14ac:dyDescent="0.25">
      <c r="A158" s="75">
        <v>3822</v>
      </c>
      <c r="B158" s="76">
        <v>45657</v>
      </c>
      <c r="C158" s="77" t="s">
        <v>126</v>
      </c>
      <c r="D158" s="78">
        <v>350</v>
      </c>
      <c r="E158" s="79"/>
      <c r="F158" s="77" t="s">
        <v>161</v>
      </c>
      <c r="G158" s="80">
        <v>4150</v>
      </c>
      <c r="H158" s="77" t="s">
        <v>160</v>
      </c>
      <c r="I158" s="81"/>
      <c r="J158" s="82">
        <v>795115.52000000002</v>
      </c>
      <c r="K158" s="93">
        <f t="shared" si="2"/>
        <v>-795115.52000000002</v>
      </c>
    </row>
    <row r="159" spans="1:11" ht="15" x14ac:dyDescent="0.25">
      <c r="A159" s="75">
        <v>3822</v>
      </c>
      <c r="B159" s="76">
        <v>45657</v>
      </c>
      <c r="C159" s="77" t="s">
        <v>126</v>
      </c>
      <c r="D159" s="78">
        <v>350</v>
      </c>
      <c r="E159" s="79"/>
      <c r="F159" s="77" t="s">
        <v>161</v>
      </c>
      <c r="G159" s="88">
        <v>2230</v>
      </c>
      <c r="H159" s="77" t="s">
        <v>162</v>
      </c>
      <c r="I159" s="82">
        <v>795115.52000000002</v>
      </c>
      <c r="J159" s="81"/>
      <c r="K159" s="93">
        <f t="shared" si="2"/>
        <v>795115.52000000002</v>
      </c>
    </row>
    <row r="160" spans="1:11" ht="15" x14ac:dyDescent="0.25">
      <c r="A160" s="75">
        <v>3822</v>
      </c>
      <c r="B160" s="76">
        <v>45657</v>
      </c>
      <c r="C160" s="77" t="s">
        <v>126</v>
      </c>
      <c r="D160" s="78">
        <v>350</v>
      </c>
      <c r="E160" s="79"/>
      <c r="F160" s="77" t="s">
        <v>163</v>
      </c>
      <c r="G160" s="80">
        <v>4112</v>
      </c>
      <c r="H160" s="77" t="s">
        <v>164</v>
      </c>
      <c r="I160" s="81"/>
      <c r="J160" s="82">
        <v>2752.18</v>
      </c>
      <c r="K160" s="93">
        <f t="shared" si="2"/>
        <v>-2752.18</v>
      </c>
    </row>
    <row r="161" spans="1:11" ht="15" x14ac:dyDescent="0.25">
      <c r="A161" s="75">
        <v>3822</v>
      </c>
      <c r="B161" s="76">
        <v>45657</v>
      </c>
      <c r="C161" s="77" t="s">
        <v>126</v>
      </c>
      <c r="D161" s="78">
        <v>350</v>
      </c>
      <c r="E161" s="79"/>
      <c r="F161" s="77" t="s">
        <v>163</v>
      </c>
      <c r="G161" s="80">
        <v>1130.04</v>
      </c>
      <c r="H161" s="77" t="s">
        <v>165</v>
      </c>
      <c r="I161" s="82">
        <v>2752.18</v>
      </c>
      <c r="J161" s="81"/>
      <c r="K161" s="93">
        <f t="shared" ref="K161:K213" si="3">I161-J161</f>
        <v>2752.18</v>
      </c>
    </row>
    <row r="162" spans="1:11" ht="15" x14ac:dyDescent="0.25">
      <c r="A162" s="75">
        <v>3822</v>
      </c>
      <c r="B162" s="76">
        <v>45657</v>
      </c>
      <c r="C162" s="77" t="s">
        <v>126</v>
      </c>
      <c r="D162" s="78">
        <v>350</v>
      </c>
      <c r="E162" s="79"/>
      <c r="F162" s="77" t="s">
        <v>166</v>
      </c>
      <c r="G162" s="80">
        <v>1135</v>
      </c>
      <c r="H162" s="77" t="s">
        <v>167</v>
      </c>
      <c r="I162" s="81"/>
      <c r="J162" s="82">
        <v>18002.939999999999</v>
      </c>
      <c r="K162" s="93">
        <f t="shared" si="3"/>
        <v>-18002.939999999999</v>
      </c>
    </row>
    <row r="163" spans="1:11" ht="15" x14ac:dyDescent="0.25">
      <c r="A163" s="75">
        <v>3822</v>
      </c>
      <c r="B163" s="76">
        <v>45657</v>
      </c>
      <c r="C163" s="77" t="s">
        <v>126</v>
      </c>
      <c r="D163" s="78">
        <v>350</v>
      </c>
      <c r="E163" s="79"/>
      <c r="F163" s="77" t="s">
        <v>166</v>
      </c>
      <c r="G163" s="80">
        <v>4118</v>
      </c>
      <c r="H163" s="77" t="s">
        <v>168</v>
      </c>
      <c r="I163" s="82">
        <v>18002.939999999999</v>
      </c>
      <c r="J163" s="81"/>
      <c r="K163" s="93">
        <f t="shared" si="3"/>
        <v>18002.939999999999</v>
      </c>
    </row>
    <row r="164" spans="1:11" ht="15" x14ac:dyDescent="0.25">
      <c r="A164" s="75">
        <v>3822</v>
      </c>
      <c r="B164" s="76">
        <v>45657</v>
      </c>
      <c r="C164" s="77" t="s">
        <v>126</v>
      </c>
      <c r="D164" s="78">
        <v>350</v>
      </c>
      <c r="E164" s="79"/>
      <c r="F164" s="77" t="s">
        <v>169</v>
      </c>
      <c r="G164" s="80">
        <v>1130.01</v>
      </c>
      <c r="H164" s="77" t="s">
        <v>170</v>
      </c>
      <c r="I164" s="81"/>
      <c r="J164" s="82">
        <v>10996.53</v>
      </c>
      <c r="K164" s="93">
        <f t="shared" si="3"/>
        <v>-10996.53</v>
      </c>
    </row>
    <row r="165" spans="1:11" ht="15" x14ac:dyDescent="0.25">
      <c r="A165" s="75">
        <v>3822</v>
      </c>
      <c r="B165" s="76">
        <v>45657</v>
      </c>
      <c r="C165" s="77" t="s">
        <v>126</v>
      </c>
      <c r="D165" s="78">
        <v>350</v>
      </c>
      <c r="E165" s="79"/>
      <c r="F165" s="77" t="s">
        <v>169</v>
      </c>
      <c r="G165" s="80">
        <v>4112</v>
      </c>
      <c r="H165" s="77" t="s">
        <v>164</v>
      </c>
      <c r="I165" s="82">
        <v>10996.53</v>
      </c>
      <c r="J165" s="81"/>
      <c r="K165" s="93">
        <f t="shared" si="3"/>
        <v>10996.53</v>
      </c>
    </row>
    <row r="166" spans="1:11" ht="15" x14ac:dyDescent="0.25">
      <c r="A166" s="75">
        <v>3822</v>
      </c>
      <c r="B166" s="83">
        <v>45657</v>
      </c>
      <c r="C166" s="84" t="s">
        <v>126</v>
      </c>
      <c r="D166" s="85">
        <v>350</v>
      </c>
      <c r="E166" s="79"/>
      <c r="F166" s="84" t="s">
        <v>171</v>
      </c>
      <c r="G166" s="86">
        <v>4150</v>
      </c>
      <c r="H166" s="84" t="s">
        <v>160</v>
      </c>
      <c r="I166" s="81"/>
      <c r="J166" s="87">
        <v>98212.22</v>
      </c>
      <c r="K166" s="93">
        <f t="shared" si="3"/>
        <v>-98212.22</v>
      </c>
    </row>
    <row r="167" spans="1:11" ht="15" x14ac:dyDescent="0.25">
      <c r="A167" s="75">
        <v>3822</v>
      </c>
      <c r="B167" s="83">
        <v>45657</v>
      </c>
      <c r="C167" s="84" t="s">
        <v>126</v>
      </c>
      <c r="D167" s="85">
        <v>350</v>
      </c>
      <c r="E167" s="79"/>
      <c r="F167" s="84" t="s">
        <v>171</v>
      </c>
      <c r="G167" s="86">
        <v>4120.01</v>
      </c>
      <c r="H167" s="84" t="s">
        <v>172</v>
      </c>
      <c r="I167" s="87">
        <v>98212.22</v>
      </c>
      <c r="J167" s="81"/>
      <c r="K167" s="93">
        <f t="shared" si="3"/>
        <v>98212.22</v>
      </c>
    </row>
    <row r="168" spans="1:11" ht="15" x14ac:dyDescent="0.25">
      <c r="A168" s="75">
        <v>3822</v>
      </c>
      <c r="B168" s="76">
        <v>45657</v>
      </c>
      <c r="C168" s="77" t="s">
        <v>126</v>
      </c>
      <c r="D168" s="78">
        <v>350</v>
      </c>
      <c r="E168" s="79"/>
      <c r="F168" s="77" t="s">
        <v>173</v>
      </c>
      <c r="G168" s="80">
        <v>4120.05</v>
      </c>
      <c r="H168" s="77" t="s">
        <v>174</v>
      </c>
      <c r="I168" s="82">
        <v>3288.28</v>
      </c>
      <c r="J168" s="81"/>
      <c r="K168" s="93">
        <f t="shared" si="3"/>
        <v>3288.28</v>
      </c>
    </row>
    <row r="169" spans="1:11" ht="15" x14ac:dyDescent="0.25">
      <c r="A169" s="75">
        <v>3822</v>
      </c>
      <c r="B169" s="76">
        <v>45657</v>
      </c>
      <c r="C169" s="77" t="s">
        <v>126</v>
      </c>
      <c r="D169" s="78">
        <v>350</v>
      </c>
      <c r="E169" s="79"/>
      <c r="F169" s="77" t="s">
        <v>173</v>
      </c>
      <c r="G169" s="80">
        <v>1130.02</v>
      </c>
      <c r="H169" s="77" t="s">
        <v>175</v>
      </c>
      <c r="I169" s="81"/>
      <c r="J169" s="82">
        <v>3288.28</v>
      </c>
      <c r="K169" s="93">
        <f t="shared" si="3"/>
        <v>-3288.28</v>
      </c>
    </row>
    <row r="170" spans="1:11" ht="15" x14ac:dyDescent="0.25">
      <c r="A170" s="75">
        <v>3822</v>
      </c>
      <c r="B170" s="76">
        <v>45657</v>
      </c>
      <c r="C170" s="77" t="s">
        <v>126</v>
      </c>
      <c r="D170" s="78">
        <v>350</v>
      </c>
      <c r="E170" s="79"/>
      <c r="F170" s="89" t="s">
        <v>107</v>
      </c>
      <c r="G170" s="88">
        <v>1130</v>
      </c>
      <c r="H170" s="77" t="s">
        <v>176</v>
      </c>
      <c r="I170" s="81"/>
      <c r="J170" s="82">
        <v>8468.68</v>
      </c>
      <c r="K170" s="93">
        <f t="shared" si="3"/>
        <v>-8468.68</v>
      </c>
    </row>
    <row r="171" spans="1:11" ht="15" x14ac:dyDescent="0.25">
      <c r="A171" s="75">
        <v>3822</v>
      </c>
      <c r="B171" s="76">
        <v>45657</v>
      </c>
      <c r="C171" s="77" t="s">
        <v>126</v>
      </c>
      <c r="D171" s="78">
        <v>350</v>
      </c>
      <c r="E171" s="79"/>
      <c r="F171" s="77" t="s">
        <v>177</v>
      </c>
      <c r="G171" s="80">
        <v>1130.02</v>
      </c>
      <c r="H171" s="77" t="s">
        <v>175</v>
      </c>
      <c r="I171" s="82">
        <v>8468.68</v>
      </c>
      <c r="J171" s="81"/>
      <c r="K171" s="93">
        <f t="shared" si="3"/>
        <v>8468.68</v>
      </c>
    </row>
    <row r="172" spans="1:11" ht="15" x14ac:dyDescent="0.25">
      <c r="A172" s="75">
        <v>3822</v>
      </c>
      <c r="B172" s="76">
        <v>45657</v>
      </c>
      <c r="C172" s="77" t="s">
        <v>126</v>
      </c>
      <c r="D172" s="78">
        <v>350</v>
      </c>
      <c r="E172" s="79"/>
      <c r="F172" s="77" t="s">
        <v>178</v>
      </c>
      <c r="G172" s="80">
        <v>4150</v>
      </c>
      <c r="H172" s="77" t="s">
        <v>160</v>
      </c>
      <c r="I172" s="82">
        <v>43596.72</v>
      </c>
      <c r="J172" s="81"/>
      <c r="K172" s="93">
        <f t="shared" si="3"/>
        <v>43596.72</v>
      </c>
    </row>
    <row r="173" spans="1:11" ht="15" x14ac:dyDescent="0.25">
      <c r="A173" s="75">
        <v>3822</v>
      </c>
      <c r="B173" s="76">
        <v>45657</v>
      </c>
      <c r="C173" s="77" t="s">
        <v>126</v>
      </c>
      <c r="D173" s="78">
        <v>350</v>
      </c>
      <c r="E173" s="79"/>
      <c r="F173" s="77" t="s">
        <v>178</v>
      </c>
      <c r="G173" s="80">
        <v>1136</v>
      </c>
      <c r="H173" s="77" t="s">
        <v>179</v>
      </c>
      <c r="I173" s="81"/>
      <c r="J173" s="82">
        <v>43596.72</v>
      </c>
      <c r="K173" s="93">
        <f t="shared" si="3"/>
        <v>-43596.72</v>
      </c>
    </row>
    <row r="174" spans="1:11" ht="15" x14ac:dyDescent="0.25">
      <c r="A174" s="75">
        <v>3833</v>
      </c>
      <c r="B174" s="83">
        <v>45657</v>
      </c>
      <c r="C174" s="84" t="s">
        <v>126</v>
      </c>
      <c r="D174" s="85">
        <v>352</v>
      </c>
      <c r="E174" s="79"/>
      <c r="F174" s="84" t="s">
        <v>131</v>
      </c>
      <c r="G174" s="79"/>
      <c r="H174" s="84" t="s">
        <v>132</v>
      </c>
      <c r="I174" s="87">
        <v>25908.62</v>
      </c>
      <c r="J174" s="81"/>
      <c r="K174" s="93">
        <f t="shared" si="3"/>
        <v>25908.62</v>
      </c>
    </row>
    <row r="175" spans="1:11" ht="15" x14ac:dyDescent="0.25">
      <c r="A175" s="75">
        <v>3833</v>
      </c>
      <c r="B175" s="76">
        <v>45657</v>
      </c>
      <c r="C175" s="77" t="s">
        <v>126</v>
      </c>
      <c r="D175" s="78">
        <v>352</v>
      </c>
      <c r="E175" s="79"/>
      <c r="F175" s="84" t="s">
        <v>131</v>
      </c>
      <c r="G175" s="80">
        <v>3000.01</v>
      </c>
      <c r="H175" s="77" t="s">
        <v>133</v>
      </c>
      <c r="I175" s="81"/>
      <c r="J175" s="82">
        <v>25908.62</v>
      </c>
      <c r="K175" s="93">
        <f t="shared" si="3"/>
        <v>-25908.62</v>
      </c>
    </row>
    <row r="176" spans="1:11" customFormat="1" ht="15" x14ac:dyDescent="0.25">
      <c r="A176" s="46">
        <v>3834</v>
      </c>
      <c r="B176" s="47">
        <v>45657</v>
      </c>
      <c r="C176" s="48" t="s">
        <v>62</v>
      </c>
      <c r="D176" s="49">
        <v>353</v>
      </c>
      <c r="E176" s="44"/>
      <c r="F176" s="44"/>
      <c r="G176" s="61">
        <v>2125.06</v>
      </c>
      <c r="H176" s="48" t="s">
        <v>108</v>
      </c>
      <c r="I176" s="45"/>
      <c r="J176" s="51">
        <v>1253.67</v>
      </c>
      <c r="K176" s="93">
        <f t="shared" si="3"/>
        <v>-1253.67</v>
      </c>
    </row>
    <row r="177" spans="1:11" customFormat="1" ht="15" x14ac:dyDescent="0.25">
      <c r="A177" s="46">
        <v>3834</v>
      </c>
      <c r="B177" s="47">
        <v>45657</v>
      </c>
      <c r="C177" s="48" t="s">
        <v>62</v>
      </c>
      <c r="D177" s="49">
        <v>353</v>
      </c>
      <c r="E177" s="44"/>
      <c r="F177" s="44"/>
      <c r="G177" s="61">
        <v>5020</v>
      </c>
      <c r="H177" s="48" t="s">
        <v>109</v>
      </c>
      <c r="I177" s="51">
        <v>601.63</v>
      </c>
      <c r="J177" s="45"/>
      <c r="K177" s="93">
        <f t="shared" si="3"/>
        <v>601.63</v>
      </c>
    </row>
    <row r="178" spans="1:11" customFormat="1" ht="15" x14ac:dyDescent="0.25">
      <c r="A178" s="46">
        <v>3834</v>
      </c>
      <c r="B178" s="47">
        <v>45657</v>
      </c>
      <c r="C178" s="48" t="s">
        <v>62</v>
      </c>
      <c r="D178" s="49">
        <v>353</v>
      </c>
      <c r="E178" s="44"/>
      <c r="F178" s="44"/>
      <c r="G178" s="61">
        <v>5020</v>
      </c>
      <c r="H178" s="48" t="s">
        <v>109</v>
      </c>
      <c r="I178" s="51">
        <v>326.5</v>
      </c>
      <c r="J178" s="45"/>
      <c r="K178" s="93">
        <f t="shared" si="3"/>
        <v>326.5</v>
      </c>
    </row>
    <row r="179" spans="1:11" customFormat="1" ht="15" x14ac:dyDescent="0.25">
      <c r="A179" s="46">
        <v>3834</v>
      </c>
      <c r="B179" s="47">
        <v>45657</v>
      </c>
      <c r="C179" s="48" t="s">
        <v>62</v>
      </c>
      <c r="D179" s="49">
        <v>353</v>
      </c>
      <c r="E179" s="44"/>
      <c r="F179" s="44"/>
      <c r="G179" s="61">
        <v>5020</v>
      </c>
      <c r="H179" s="48" t="s">
        <v>109</v>
      </c>
      <c r="I179" s="51">
        <v>66</v>
      </c>
      <c r="J179" s="45"/>
      <c r="K179" s="93">
        <f t="shared" si="3"/>
        <v>66</v>
      </c>
    </row>
    <row r="180" spans="1:11" customFormat="1" ht="15" x14ac:dyDescent="0.25">
      <c r="A180" s="46">
        <v>3834</v>
      </c>
      <c r="B180" s="47">
        <v>45657</v>
      </c>
      <c r="C180" s="48" t="s">
        <v>62</v>
      </c>
      <c r="D180" s="49">
        <v>353</v>
      </c>
      <c r="E180" s="44"/>
      <c r="F180" s="44"/>
      <c r="G180" s="61">
        <v>5020</v>
      </c>
      <c r="H180" s="48" t="s">
        <v>109</v>
      </c>
      <c r="I180" s="51">
        <v>29.3</v>
      </c>
      <c r="J180" s="45"/>
      <c r="K180" s="93">
        <f t="shared" si="3"/>
        <v>29.3</v>
      </c>
    </row>
    <row r="181" spans="1:11" customFormat="1" ht="15" x14ac:dyDescent="0.25">
      <c r="A181" s="46">
        <v>3834</v>
      </c>
      <c r="B181" s="47">
        <v>45657</v>
      </c>
      <c r="C181" s="48" t="s">
        <v>62</v>
      </c>
      <c r="D181" s="49">
        <v>353</v>
      </c>
      <c r="E181" s="44"/>
      <c r="F181" s="44"/>
      <c r="G181" s="61">
        <v>5020</v>
      </c>
      <c r="H181" s="48" t="s">
        <v>109</v>
      </c>
      <c r="I181" s="51">
        <v>33.92</v>
      </c>
      <c r="J181" s="45"/>
      <c r="K181" s="93">
        <f t="shared" si="3"/>
        <v>33.92</v>
      </c>
    </row>
    <row r="182" spans="1:11" customFormat="1" ht="15" x14ac:dyDescent="0.25">
      <c r="A182" s="46">
        <v>3834</v>
      </c>
      <c r="B182" s="47">
        <v>45657</v>
      </c>
      <c r="C182" s="48" t="s">
        <v>62</v>
      </c>
      <c r="D182" s="49">
        <v>353</v>
      </c>
      <c r="E182" s="44"/>
      <c r="F182" s="44"/>
      <c r="G182" s="61">
        <v>5020</v>
      </c>
      <c r="H182" s="48" t="s">
        <v>109</v>
      </c>
      <c r="I182" s="51">
        <v>133.12</v>
      </c>
      <c r="J182" s="45"/>
      <c r="K182" s="93">
        <f t="shared" si="3"/>
        <v>133.12</v>
      </c>
    </row>
    <row r="183" spans="1:11" customFormat="1" ht="15" x14ac:dyDescent="0.25">
      <c r="A183" s="46">
        <v>3834</v>
      </c>
      <c r="B183" s="47">
        <v>45657</v>
      </c>
      <c r="C183" s="48" t="s">
        <v>62</v>
      </c>
      <c r="D183" s="49">
        <v>353</v>
      </c>
      <c r="E183" s="44"/>
      <c r="F183" s="44"/>
      <c r="G183" s="61">
        <v>5020</v>
      </c>
      <c r="H183" s="48" t="s">
        <v>109</v>
      </c>
      <c r="I183" s="51">
        <v>15.67</v>
      </c>
      <c r="J183" s="45"/>
      <c r="K183" s="93">
        <f t="shared" si="3"/>
        <v>15.67</v>
      </c>
    </row>
    <row r="184" spans="1:11" customFormat="1" ht="15" x14ac:dyDescent="0.25">
      <c r="A184" s="46">
        <v>3834</v>
      </c>
      <c r="B184" s="47">
        <v>45657</v>
      </c>
      <c r="C184" s="48" t="s">
        <v>62</v>
      </c>
      <c r="D184" s="49">
        <v>353</v>
      </c>
      <c r="E184" s="44"/>
      <c r="F184" s="44"/>
      <c r="G184" s="61">
        <v>5020</v>
      </c>
      <c r="H184" s="48" t="s">
        <v>109</v>
      </c>
      <c r="I184" s="51">
        <v>17.57</v>
      </c>
      <c r="J184" s="45"/>
      <c r="K184" s="93">
        <f t="shared" si="3"/>
        <v>17.57</v>
      </c>
    </row>
    <row r="185" spans="1:11" customFormat="1" ht="15" x14ac:dyDescent="0.25">
      <c r="A185" s="46">
        <v>3834</v>
      </c>
      <c r="B185" s="47">
        <v>45657</v>
      </c>
      <c r="C185" s="48" t="s">
        <v>62</v>
      </c>
      <c r="D185" s="49">
        <v>353</v>
      </c>
      <c r="E185" s="44"/>
      <c r="F185" s="44"/>
      <c r="G185" s="61">
        <v>5020</v>
      </c>
      <c r="H185" s="48" t="s">
        <v>109</v>
      </c>
      <c r="I185" s="51">
        <v>26.58</v>
      </c>
      <c r="J185" s="45"/>
      <c r="K185" s="93">
        <f t="shared" si="3"/>
        <v>26.58</v>
      </c>
    </row>
    <row r="186" spans="1:11" customFormat="1" ht="15" x14ac:dyDescent="0.25">
      <c r="A186" s="46">
        <v>3834</v>
      </c>
      <c r="B186" s="47">
        <v>45657</v>
      </c>
      <c r="C186" s="48" t="s">
        <v>62</v>
      </c>
      <c r="D186" s="49">
        <v>353</v>
      </c>
      <c r="E186" s="44"/>
      <c r="F186" s="44"/>
      <c r="G186" s="61">
        <v>5020</v>
      </c>
      <c r="H186" s="48" t="s">
        <v>109</v>
      </c>
      <c r="I186" s="51">
        <v>3.38</v>
      </c>
      <c r="J186" s="45"/>
      <c r="K186" s="93">
        <f t="shared" si="3"/>
        <v>3.38</v>
      </c>
    </row>
    <row r="187" spans="1:11" ht="15" x14ac:dyDescent="0.25">
      <c r="A187" s="75">
        <v>3842</v>
      </c>
      <c r="B187" s="76">
        <v>45657</v>
      </c>
      <c r="C187" s="77" t="s">
        <v>126</v>
      </c>
      <c r="D187" s="78">
        <v>354</v>
      </c>
      <c r="F187" s="90" t="s">
        <v>134</v>
      </c>
      <c r="G187" s="91">
        <v>1126</v>
      </c>
      <c r="H187" s="90" t="s">
        <v>135</v>
      </c>
      <c r="I187" s="81"/>
      <c r="J187" s="92">
        <v>13445</v>
      </c>
      <c r="K187" s="93">
        <f t="shared" si="3"/>
        <v>-13445</v>
      </c>
    </row>
    <row r="188" spans="1:11" ht="15" x14ac:dyDescent="0.25">
      <c r="A188" s="75">
        <v>3842</v>
      </c>
      <c r="B188" s="76">
        <v>45657</v>
      </c>
      <c r="C188" s="77" t="s">
        <v>126</v>
      </c>
      <c r="D188" s="78">
        <v>354</v>
      </c>
      <c r="F188" s="77" t="s">
        <v>136</v>
      </c>
      <c r="G188" s="80">
        <v>4132</v>
      </c>
      <c r="H188" s="77" t="s">
        <v>137</v>
      </c>
      <c r="I188" s="82">
        <v>13445</v>
      </c>
      <c r="J188" s="81"/>
      <c r="K188" s="93">
        <f t="shared" si="3"/>
        <v>13445</v>
      </c>
    </row>
    <row r="189" spans="1:11" ht="15" x14ac:dyDescent="0.25">
      <c r="A189" s="75">
        <v>3842</v>
      </c>
      <c r="B189" s="76">
        <v>45657</v>
      </c>
      <c r="C189" s="77" t="s">
        <v>126</v>
      </c>
      <c r="D189" s="78">
        <v>354</v>
      </c>
      <c r="F189" s="77" t="s">
        <v>138</v>
      </c>
      <c r="G189" s="80">
        <v>1126.01</v>
      </c>
      <c r="H189" s="77" t="s">
        <v>139</v>
      </c>
      <c r="I189" s="82">
        <v>12152</v>
      </c>
      <c r="J189" s="81"/>
      <c r="K189" s="93">
        <f t="shared" si="3"/>
        <v>12152</v>
      </c>
    </row>
    <row r="190" spans="1:11" ht="15" x14ac:dyDescent="0.25">
      <c r="A190" s="75">
        <v>3842</v>
      </c>
      <c r="B190" s="76">
        <v>45657</v>
      </c>
      <c r="C190" s="77" t="s">
        <v>126</v>
      </c>
      <c r="D190" s="78">
        <v>354</v>
      </c>
      <c r="F190" s="77" t="s">
        <v>140</v>
      </c>
      <c r="G190" s="80">
        <v>9100</v>
      </c>
      <c r="H190" s="77" t="s">
        <v>141</v>
      </c>
      <c r="I190" s="81"/>
      <c r="J190" s="82">
        <v>12152</v>
      </c>
      <c r="K190" s="93">
        <f t="shared" si="3"/>
        <v>-12152</v>
      </c>
    </row>
    <row r="191" spans="1:11" ht="15" x14ac:dyDescent="0.25">
      <c r="A191" s="75">
        <v>3842</v>
      </c>
      <c r="B191" s="76">
        <v>45657</v>
      </c>
      <c r="C191" s="77" t="s">
        <v>126</v>
      </c>
      <c r="D191" s="78">
        <v>354</v>
      </c>
      <c r="F191" s="77" t="s">
        <v>142</v>
      </c>
      <c r="G191" s="80">
        <v>1128</v>
      </c>
      <c r="H191" s="77" t="s">
        <v>143</v>
      </c>
      <c r="I191" s="82">
        <v>1604</v>
      </c>
      <c r="J191" s="81"/>
      <c r="K191" s="93">
        <f t="shared" si="3"/>
        <v>1604</v>
      </c>
    </row>
    <row r="192" spans="1:11" ht="15" x14ac:dyDescent="0.25">
      <c r="A192" s="75">
        <v>3842</v>
      </c>
      <c r="B192" s="76">
        <v>45657</v>
      </c>
      <c r="C192" s="77" t="s">
        <v>126</v>
      </c>
      <c r="D192" s="78">
        <v>354</v>
      </c>
      <c r="F192" s="77" t="s">
        <v>136</v>
      </c>
      <c r="G192" s="80">
        <v>4133</v>
      </c>
      <c r="H192" s="77" t="s">
        <v>144</v>
      </c>
      <c r="I192" s="81"/>
      <c r="J192" s="82">
        <v>1604</v>
      </c>
      <c r="K192" s="93">
        <f t="shared" si="3"/>
        <v>-1604</v>
      </c>
    </row>
    <row r="193" spans="1:11" ht="15" x14ac:dyDescent="0.25">
      <c r="A193" s="75">
        <v>3842</v>
      </c>
      <c r="B193" s="76">
        <v>45657</v>
      </c>
      <c r="C193" s="77" t="s">
        <v>126</v>
      </c>
      <c r="D193" s="78">
        <v>354</v>
      </c>
      <c r="F193" s="77" t="s">
        <v>145</v>
      </c>
      <c r="G193" s="80">
        <v>1128.01</v>
      </c>
      <c r="H193" s="77" t="s">
        <v>146</v>
      </c>
      <c r="I193" s="81"/>
      <c r="J193" s="82">
        <v>1222</v>
      </c>
      <c r="K193" s="93">
        <f t="shared" si="3"/>
        <v>-1222</v>
      </c>
    </row>
    <row r="194" spans="1:11" ht="15" x14ac:dyDescent="0.25">
      <c r="A194" s="75">
        <v>3842</v>
      </c>
      <c r="B194" s="76">
        <v>45657</v>
      </c>
      <c r="C194" s="77" t="s">
        <v>126</v>
      </c>
      <c r="D194" s="78">
        <v>354</v>
      </c>
      <c r="F194" s="77" t="s">
        <v>140</v>
      </c>
      <c r="G194" s="80">
        <v>9100</v>
      </c>
      <c r="H194" s="77" t="s">
        <v>141</v>
      </c>
      <c r="I194" s="82">
        <v>1222</v>
      </c>
      <c r="J194" s="81"/>
      <c r="K194" s="93">
        <f t="shared" si="3"/>
        <v>1222</v>
      </c>
    </row>
    <row r="195" spans="1:11" ht="15" x14ac:dyDescent="0.25">
      <c r="A195" s="75">
        <v>3842</v>
      </c>
      <c r="B195" s="83">
        <v>45657</v>
      </c>
      <c r="C195" s="84" t="s">
        <v>126</v>
      </c>
      <c r="D195" s="85">
        <v>354</v>
      </c>
      <c r="F195" s="84" t="s">
        <v>147</v>
      </c>
      <c r="G195" s="86">
        <v>2140</v>
      </c>
      <c r="H195" s="84" t="s">
        <v>148</v>
      </c>
      <c r="I195" s="81"/>
      <c r="J195" s="87">
        <v>250</v>
      </c>
      <c r="K195" s="93">
        <f t="shared" si="3"/>
        <v>-250</v>
      </c>
    </row>
    <row r="196" spans="1:11" ht="15" x14ac:dyDescent="0.25">
      <c r="A196" s="75">
        <v>3842</v>
      </c>
      <c r="B196" s="83">
        <v>45657</v>
      </c>
      <c r="C196" s="84" t="s">
        <v>126</v>
      </c>
      <c r="D196" s="85">
        <v>354</v>
      </c>
      <c r="F196" s="84" t="s">
        <v>147</v>
      </c>
      <c r="G196" s="86">
        <v>2140</v>
      </c>
      <c r="H196" s="84" t="s">
        <v>148</v>
      </c>
      <c r="I196" s="87">
        <v>3524</v>
      </c>
      <c r="J196" s="81"/>
      <c r="K196" s="93">
        <f t="shared" si="3"/>
        <v>3524</v>
      </c>
    </row>
    <row r="197" spans="1:11" ht="15" x14ac:dyDescent="0.25">
      <c r="A197" s="75">
        <v>3842</v>
      </c>
      <c r="B197" s="76">
        <v>45657</v>
      </c>
      <c r="C197" s="77" t="s">
        <v>126</v>
      </c>
      <c r="D197" s="78">
        <v>354</v>
      </c>
      <c r="F197" s="77" t="s">
        <v>136</v>
      </c>
      <c r="G197" s="80">
        <v>4132</v>
      </c>
      <c r="H197" s="77" t="s">
        <v>137</v>
      </c>
      <c r="I197" s="82">
        <v>250</v>
      </c>
      <c r="J197" s="81"/>
      <c r="K197" s="93">
        <f t="shared" si="3"/>
        <v>250</v>
      </c>
    </row>
    <row r="198" spans="1:11" ht="15" x14ac:dyDescent="0.25">
      <c r="A198" s="75">
        <v>3842</v>
      </c>
      <c r="B198" s="76">
        <v>45657</v>
      </c>
      <c r="C198" s="77" t="s">
        <v>126</v>
      </c>
      <c r="D198" s="78">
        <v>354</v>
      </c>
      <c r="F198" s="77" t="s">
        <v>136</v>
      </c>
      <c r="G198" s="80">
        <v>4133</v>
      </c>
      <c r="H198" s="77" t="s">
        <v>144</v>
      </c>
      <c r="I198" s="81"/>
      <c r="J198" s="82">
        <v>3524</v>
      </c>
      <c r="K198" s="93">
        <f t="shared" si="3"/>
        <v>-3524</v>
      </c>
    </row>
    <row r="199" spans="1:11" ht="15" x14ac:dyDescent="0.25">
      <c r="A199" s="75">
        <v>3849</v>
      </c>
      <c r="B199" s="76">
        <v>45657</v>
      </c>
      <c r="C199" s="77" t="s">
        <v>126</v>
      </c>
      <c r="D199" s="78">
        <v>355</v>
      </c>
      <c r="E199" s="79"/>
      <c r="F199" s="77" t="s">
        <v>149</v>
      </c>
      <c r="G199" s="80">
        <v>4140</v>
      </c>
      <c r="H199" s="77" t="s">
        <v>150</v>
      </c>
      <c r="I199" s="82">
        <v>20000</v>
      </c>
      <c r="J199" s="81"/>
      <c r="K199" s="93">
        <f t="shared" si="3"/>
        <v>20000</v>
      </c>
    </row>
    <row r="200" spans="1:11" ht="15" x14ac:dyDescent="0.25">
      <c r="A200" s="75">
        <v>3849</v>
      </c>
      <c r="B200" s="76">
        <v>45657</v>
      </c>
      <c r="C200" s="77" t="s">
        <v>126</v>
      </c>
      <c r="D200" s="78">
        <v>355</v>
      </c>
      <c r="E200" s="79"/>
      <c r="F200" s="77" t="s">
        <v>151</v>
      </c>
      <c r="G200" s="80">
        <v>2225</v>
      </c>
      <c r="H200" s="77" t="s">
        <v>152</v>
      </c>
      <c r="I200" s="81"/>
      <c r="J200" s="82">
        <v>20000</v>
      </c>
      <c r="K200" s="93">
        <f t="shared" si="3"/>
        <v>-20000</v>
      </c>
    </row>
    <row r="201" spans="1:11" ht="15" x14ac:dyDescent="0.25">
      <c r="A201" s="75">
        <v>3849</v>
      </c>
      <c r="B201" s="76">
        <v>45657</v>
      </c>
      <c r="C201" s="77" t="s">
        <v>126</v>
      </c>
      <c r="D201" s="78">
        <v>355</v>
      </c>
      <c r="E201" s="79"/>
      <c r="F201" s="77" t="s">
        <v>153</v>
      </c>
      <c r="G201" s="80">
        <v>4140</v>
      </c>
      <c r="H201" s="77" t="s">
        <v>150</v>
      </c>
      <c r="I201" s="82">
        <v>7200</v>
      </c>
      <c r="J201" s="81"/>
      <c r="K201" s="93">
        <f t="shared" si="3"/>
        <v>7200</v>
      </c>
    </row>
    <row r="202" spans="1:11" ht="15" x14ac:dyDescent="0.25">
      <c r="A202" s="75">
        <v>3849</v>
      </c>
      <c r="B202" s="76">
        <v>45657</v>
      </c>
      <c r="C202" s="77" t="s">
        <v>126</v>
      </c>
      <c r="D202" s="78">
        <v>355</v>
      </c>
      <c r="E202" s="79"/>
      <c r="F202" s="77" t="s">
        <v>153</v>
      </c>
      <c r="G202" s="80">
        <v>2225</v>
      </c>
      <c r="H202" s="77" t="s">
        <v>152</v>
      </c>
      <c r="I202" s="81"/>
      <c r="J202" s="82">
        <v>7200</v>
      </c>
      <c r="K202" s="93">
        <f t="shared" si="3"/>
        <v>-7200</v>
      </c>
    </row>
    <row r="203" spans="1:11" ht="15" x14ac:dyDescent="0.25">
      <c r="A203" s="75">
        <v>3849</v>
      </c>
      <c r="B203" s="76">
        <v>45657</v>
      </c>
      <c r="C203" s="77" t="s">
        <v>126</v>
      </c>
      <c r="D203" s="78">
        <v>355</v>
      </c>
      <c r="E203" s="79"/>
      <c r="F203" s="77" t="s">
        <v>154</v>
      </c>
      <c r="G203" s="80">
        <v>4140</v>
      </c>
      <c r="H203" s="77" t="s">
        <v>150</v>
      </c>
      <c r="I203" s="81"/>
      <c r="J203" s="82">
        <v>150</v>
      </c>
      <c r="K203" s="93">
        <f t="shared" si="3"/>
        <v>-150</v>
      </c>
    </row>
    <row r="204" spans="1:11" ht="15" x14ac:dyDescent="0.25">
      <c r="A204" s="75">
        <v>3849</v>
      </c>
      <c r="B204" s="76">
        <v>45657</v>
      </c>
      <c r="C204" s="77" t="s">
        <v>126</v>
      </c>
      <c r="D204" s="78">
        <v>355</v>
      </c>
      <c r="E204" s="79"/>
      <c r="F204" s="77" t="s">
        <v>155</v>
      </c>
      <c r="G204" s="80">
        <v>1120</v>
      </c>
      <c r="H204" s="77" t="s">
        <v>156</v>
      </c>
      <c r="I204" s="82">
        <v>150</v>
      </c>
      <c r="J204" s="81"/>
      <c r="K204" s="93">
        <f t="shared" si="3"/>
        <v>150</v>
      </c>
    </row>
    <row r="205" spans="1:11" ht="15" x14ac:dyDescent="0.25">
      <c r="A205" s="75">
        <v>3849</v>
      </c>
      <c r="B205" s="76">
        <v>45657</v>
      </c>
      <c r="C205" s="77" t="s">
        <v>126</v>
      </c>
      <c r="D205" s="78">
        <v>355</v>
      </c>
      <c r="E205" s="79"/>
      <c r="F205" s="77" t="s">
        <v>157</v>
      </c>
      <c r="G205" s="80">
        <v>2140</v>
      </c>
      <c r="H205" s="77" t="s">
        <v>148</v>
      </c>
      <c r="I205" s="81"/>
      <c r="J205" s="82">
        <v>5050</v>
      </c>
      <c r="K205" s="93">
        <f t="shared" si="3"/>
        <v>-5050</v>
      </c>
    </row>
    <row r="206" spans="1:11" ht="15" x14ac:dyDescent="0.25">
      <c r="A206" s="75">
        <v>3849</v>
      </c>
      <c r="B206" s="76">
        <v>45657</v>
      </c>
      <c r="C206" s="77" t="s">
        <v>126</v>
      </c>
      <c r="D206" s="78">
        <v>355</v>
      </c>
      <c r="E206" s="79"/>
      <c r="F206" s="77" t="s">
        <v>157</v>
      </c>
      <c r="G206" s="80">
        <v>4140</v>
      </c>
      <c r="H206" s="77" t="s">
        <v>150</v>
      </c>
      <c r="I206" s="82">
        <v>5050</v>
      </c>
      <c r="J206" s="81"/>
      <c r="K206" s="93">
        <f t="shared" si="3"/>
        <v>5050</v>
      </c>
    </row>
    <row r="207" spans="1:11" customFormat="1" ht="15" x14ac:dyDescent="0.25">
      <c r="A207" s="46">
        <v>3872</v>
      </c>
      <c r="B207" s="47">
        <v>45657</v>
      </c>
      <c r="C207" s="48" t="s">
        <v>62</v>
      </c>
      <c r="D207" s="49">
        <v>358</v>
      </c>
      <c r="E207" s="44"/>
      <c r="F207" s="48" t="s">
        <v>110</v>
      </c>
      <c r="G207" s="61">
        <v>5000</v>
      </c>
      <c r="H207" s="48" t="s">
        <v>111</v>
      </c>
      <c r="I207" s="51">
        <v>4565.18</v>
      </c>
      <c r="J207" s="45"/>
      <c r="K207" s="93">
        <f t="shared" si="3"/>
        <v>4565.18</v>
      </c>
    </row>
    <row r="208" spans="1:11" customFormat="1" ht="15" x14ac:dyDescent="0.25">
      <c r="A208" s="46">
        <v>3872</v>
      </c>
      <c r="B208" s="47">
        <v>45657</v>
      </c>
      <c r="C208" s="48" t="s">
        <v>62</v>
      </c>
      <c r="D208" s="49">
        <v>358</v>
      </c>
      <c r="E208" s="44"/>
      <c r="F208" s="48" t="s">
        <v>112</v>
      </c>
      <c r="G208" s="61">
        <v>5020.1000000000004</v>
      </c>
      <c r="H208" s="48" t="s">
        <v>94</v>
      </c>
      <c r="I208" s="51">
        <v>433.69</v>
      </c>
      <c r="J208" s="45"/>
      <c r="K208" s="93">
        <f t="shared" si="3"/>
        <v>433.69</v>
      </c>
    </row>
    <row r="209" spans="1:11" customFormat="1" ht="15" x14ac:dyDescent="0.25">
      <c r="A209" s="46">
        <v>3872</v>
      </c>
      <c r="B209" s="47">
        <v>45657</v>
      </c>
      <c r="C209" s="48" t="s">
        <v>62</v>
      </c>
      <c r="D209" s="49">
        <v>358</v>
      </c>
      <c r="E209" s="44"/>
      <c r="F209" s="48" t="s">
        <v>113</v>
      </c>
      <c r="G209" s="61">
        <v>2120</v>
      </c>
      <c r="H209" s="48" t="s">
        <v>114</v>
      </c>
      <c r="I209" s="45"/>
      <c r="J209" s="51">
        <v>4565.18</v>
      </c>
      <c r="K209" s="93">
        <f t="shared" si="3"/>
        <v>-4565.18</v>
      </c>
    </row>
    <row r="210" spans="1:11" customFormat="1" ht="15" x14ac:dyDescent="0.25">
      <c r="A210" s="46">
        <v>3872</v>
      </c>
      <c r="B210" s="47">
        <v>45657</v>
      </c>
      <c r="C210" s="48" t="s">
        <v>62</v>
      </c>
      <c r="D210" s="49">
        <v>358</v>
      </c>
      <c r="E210" s="44"/>
      <c r="F210" s="48" t="s">
        <v>115</v>
      </c>
      <c r="G210" s="61">
        <v>2125.06</v>
      </c>
      <c r="H210" s="48" t="s">
        <v>108</v>
      </c>
      <c r="I210" s="45"/>
      <c r="J210" s="51">
        <v>433.69</v>
      </c>
      <c r="K210" s="93">
        <f t="shared" si="3"/>
        <v>-433.69</v>
      </c>
    </row>
    <row r="211" spans="1:11" customFormat="1" ht="15" x14ac:dyDescent="0.25">
      <c r="A211" s="46">
        <v>3872</v>
      </c>
      <c r="B211" s="47">
        <v>45657</v>
      </c>
      <c r="C211" s="48" t="s">
        <v>62</v>
      </c>
      <c r="D211" s="49">
        <v>358</v>
      </c>
      <c r="E211" s="44"/>
      <c r="F211" s="48" t="s">
        <v>110</v>
      </c>
      <c r="G211" s="61">
        <v>5000</v>
      </c>
      <c r="H211" s="48" t="s">
        <v>111</v>
      </c>
      <c r="I211" s="45"/>
      <c r="J211" s="51">
        <v>1680.74</v>
      </c>
      <c r="K211" s="93">
        <f t="shared" si="3"/>
        <v>-1680.74</v>
      </c>
    </row>
    <row r="212" spans="1:11" customFormat="1" ht="15" x14ac:dyDescent="0.25">
      <c r="A212" s="46">
        <v>3872</v>
      </c>
      <c r="B212" s="47">
        <v>45657</v>
      </c>
      <c r="C212" s="48" t="s">
        <v>62</v>
      </c>
      <c r="D212" s="49">
        <v>358</v>
      </c>
      <c r="E212" s="44"/>
      <c r="F212" s="48" t="s">
        <v>116</v>
      </c>
      <c r="G212" s="61">
        <v>2135</v>
      </c>
      <c r="H212" s="48" t="s">
        <v>117</v>
      </c>
      <c r="I212" s="51">
        <v>1680.74</v>
      </c>
      <c r="J212" s="45"/>
      <c r="K212" s="93">
        <f t="shared" si="3"/>
        <v>1680.74</v>
      </c>
    </row>
    <row r="213" spans="1:11" ht="15" x14ac:dyDescent="0.25">
      <c r="A213" s="75">
        <v>3952</v>
      </c>
      <c r="B213" s="76">
        <v>45657</v>
      </c>
      <c r="C213" s="77" t="s">
        <v>126</v>
      </c>
      <c r="D213" s="78">
        <v>359</v>
      </c>
      <c r="E213" s="79"/>
      <c r="F213" s="77" t="s">
        <v>180</v>
      </c>
      <c r="G213" s="80">
        <v>9020</v>
      </c>
      <c r="H213" s="77" t="s">
        <v>181</v>
      </c>
      <c r="I213" s="82">
        <v>131270</v>
      </c>
      <c r="J213" s="81"/>
      <c r="K213" s="93">
        <f t="shared" si="3"/>
        <v>131270</v>
      </c>
    </row>
    <row r="214" spans="1:11" ht="15" x14ac:dyDescent="0.25">
      <c r="A214" s="75">
        <v>3952</v>
      </c>
      <c r="B214" s="76">
        <v>45657</v>
      </c>
      <c r="C214" s="77" t="s">
        <v>126</v>
      </c>
      <c r="D214" s="78">
        <v>359</v>
      </c>
      <c r="E214" s="79"/>
      <c r="F214" s="77" t="s">
        <v>182</v>
      </c>
      <c r="G214" s="80">
        <v>1301.01</v>
      </c>
      <c r="H214" s="77" t="s">
        <v>183</v>
      </c>
      <c r="I214" s="81"/>
      <c r="J214" s="82">
        <v>131270</v>
      </c>
      <c r="K214" s="93">
        <f t="shared" ref="K214:K224" si="4">I214-J214</f>
        <v>-131270</v>
      </c>
    </row>
    <row r="215" spans="1:11" ht="15" x14ac:dyDescent="0.25">
      <c r="A215" s="75">
        <v>3952</v>
      </c>
      <c r="B215" s="76">
        <v>45657</v>
      </c>
      <c r="C215" s="77" t="s">
        <v>126</v>
      </c>
      <c r="D215" s="78">
        <v>359</v>
      </c>
      <c r="E215" s="79"/>
      <c r="F215" s="77" t="s">
        <v>182</v>
      </c>
      <c r="G215" s="80">
        <v>9020</v>
      </c>
      <c r="H215" s="77" t="s">
        <v>181</v>
      </c>
      <c r="I215" s="82">
        <v>49617</v>
      </c>
      <c r="J215" s="81"/>
      <c r="K215" s="93">
        <f t="shared" si="4"/>
        <v>49617</v>
      </c>
    </row>
    <row r="216" spans="1:11" ht="15" x14ac:dyDescent="0.25">
      <c r="A216" s="75">
        <v>3952</v>
      </c>
      <c r="B216" s="76">
        <v>45657</v>
      </c>
      <c r="C216" s="77" t="s">
        <v>126</v>
      </c>
      <c r="D216" s="78">
        <v>359</v>
      </c>
      <c r="E216" s="79"/>
      <c r="F216" s="77" t="s">
        <v>182</v>
      </c>
      <c r="G216" s="80">
        <v>1302.01</v>
      </c>
      <c r="H216" s="77" t="s">
        <v>184</v>
      </c>
      <c r="I216" s="81"/>
      <c r="J216" s="82">
        <v>49617</v>
      </c>
      <c r="K216" s="93">
        <f t="shared" si="4"/>
        <v>-49617</v>
      </c>
    </row>
    <row r="217" spans="1:11" customFormat="1" ht="15" x14ac:dyDescent="0.25">
      <c r="A217" s="46">
        <v>4068</v>
      </c>
      <c r="B217" s="47">
        <v>45657</v>
      </c>
      <c r="C217" s="48" t="s">
        <v>62</v>
      </c>
      <c r="D217" s="49">
        <v>362</v>
      </c>
      <c r="E217" s="44"/>
      <c r="F217" s="44"/>
      <c r="G217" s="61">
        <v>1127</v>
      </c>
      <c r="H217" s="48" t="s">
        <v>118</v>
      </c>
      <c r="I217" s="51">
        <v>150</v>
      </c>
      <c r="J217" s="45"/>
      <c r="K217" s="93">
        <f t="shared" si="4"/>
        <v>150</v>
      </c>
    </row>
    <row r="218" spans="1:11" customFormat="1" ht="15" x14ac:dyDescent="0.25">
      <c r="A218" s="46">
        <v>4068</v>
      </c>
      <c r="B218" s="47">
        <v>45657</v>
      </c>
      <c r="C218" s="48" t="s">
        <v>62</v>
      </c>
      <c r="D218" s="49">
        <v>362</v>
      </c>
      <c r="E218" s="44"/>
      <c r="F218" s="44"/>
      <c r="G218" s="61">
        <v>4134</v>
      </c>
      <c r="H218" s="48" t="s">
        <v>95</v>
      </c>
      <c r="I218" s="45"/>
      <c r="J218" s="51">
        <v>150</v>
      </c>
      <c r="K218" s="93">
        <f t="shared" si="4"/>
        <v>-150</v>
      </c>
    </row>
    <row r="219" spans="1:11" customFormat="1" ht="15" x14ac:dyDescent="0.25">
      <c r="A219" s="46">
        <v>4068</v>
      </c>
      <c r="B219" s="47">
        <v>45657</v>
      </c>
      <c r="C219" s="48" t="s">
        <v>62</v>
      </c>
      <c r="D219" s="49">
        <v>362</v>
      </c>
      <c r="E219" s="44"/>
      <c r="F219" s="44"/>
      <c r="G219" s="61">
        <v>1127</v>
      </c>
      <c r="H219" s="48" t="s">
        <v>118</v>
      </c>
      <c r="I219" s="51">
        <v>150</v>
      </c>
      <c r="J219" s="45"/>
      <c r="K219" s="93">
        <f t="shared" si="4"/>
        <v>150</v>
      </c>
    </row>
    <row r="220" spans="1:11" customFormat="1" ht="15" x14ac:dyDescent="0.25">
      <c r="A220" s="46">
        <v>4068</v>
      </c>
      <c r="B220" s="47">
        <v>45657</v>
      </c>
      <c r="C220" s="48" t="s">
        <v>62</v>
      </c>
      <c r="D220" s="49">
        <v>362</v>
      </c>
      <c r="E220" s="44"/>
      <c r="F220" s="44"/>
      <c r="G220" s="61">
        <v>4134</v>
      </c>
      <c r="H220" s="48" t="s">
        <v>95</v>
      </c>
      <c r="I220" s="45"/>
      <c r="J220" s="51">
        <v>150</v>
      </c>
      <c r="K220" s="93">
        <f t="shared" si="4"/>
        <v>-150</v>
      </c>
    </row>
    <row r="221" spans="1:11" customFormat="1" ht="15" x14ac:dyDescent="0.25">
      <c r="A221" s="46">
        <v>4069</v>
      </c>
      <c r="B221" s="47">
        <v>45657</v>
      </c>
      <c r="C221" s="48" t="s">
        <v>62</v>
      </c>
      <c r="D221" s="49">
        <v>363</v>
      </c>
      <c r="E221" s="44"/>
      <c r="F221" s="44"/>
      <c r="G221" s="61">
        <v>4118</v>
      </c>
      <c r="H221" s="48" t="s">
        <v>105</v>
      </c>
      <c r="I221" s="45"/>
      <c r="J221" s="51">
        <v>46902.6</v>
      </c>
      <c r="K221" s="93">
        <f t="shared" si="4"/>
        <v>-46902.6</v>
      </c>
    </row>
    <row r="222" spans="1:11" customFormat="1" ht="15" x14ac:dyDescent="0.25">
      <c r="A222" s="46">
        <v>4069</v>
      </c>
      <c r="B222" s="47">
        <v>45657</v>
      </c>
      <c r="C222" s="48" t="s">
        <v>62</v>
      </c>
      <c r="D222" s="49">
        <v>363</v>
      </c>
      <c r="E222" s="44"/>
      <c r="F222" s="44"/>
      <c r="G222" s="61">
        <v>1135</v>
      </c>
      <c r="H222" s="48" t="s">
        <v>104</v>
      </c>
      <c r="I222" s="51">
        <v>46902.6</v>
      </c>
      <c r="J222" s="45"/>
      <c r="K222" s="93">
        <f t="shared" si="4"/>
        <v>46902.6</v>
      </c>
    </row>
    <row r="223" spans="1:11" customFormat="1" ht="15" x14ac:dyDescent="0.25">
      <c r="A223" s="46">
        <v>4075</v>
      </c>
      <c r="B223" s="47">
        <v>45657</v>
      </c>
      <c r="C223" s="48" t="s">
        <v>62</v>
      </c>
      <c r="D223" s="49">
        <v>365</v>
      </c>
      <c r="E223" s="44"/>
      <c r="F223" s="48" t="s">
        <v>119</v>
      </c>
      <c r="G223" s="61">
        <v>1130.01</v>
      </c>
      <c r="H223" s="48" t="s">
        <v>106</v>
      </c>
      <c r="I223" s="45"/>
      <c r="J223" s="51">
        <v>14005.25</v>
      </c>
      <c r="K223" s="93">
        <f t="shared" si="4"/>
        <v>-14005.25</v>
      </c>
    </row>
    <row r="224" spans="1:11" customFormat="1" ht="15.75" thickBot="1" x14ac:dyDescent="0.3">
      <c r="A224" s="62">
        <v>4075</v>
      </c>
      <c r="B224" s="63">
        <v>45657</v>
      </c>
      <c r="C224" s="64" t="s">
        <v>62</v>
      </c>
      <c r="D224" s="65">
        <v>365</v>
      </c>
      <c r="E224" s="66"/>
      <c r="F224" s="64" t="s">
        <v>119</v>
      </c>
      <c r="G224" s="67">
        <v>4112</v>
      </c>
      <c r="H224" s="64" t="s">
        <v>103</v>
      </c>
      <c r="I224" s="68">
        <v>14005.25</v>
      </c>
      <c r="J224" s="69"/>
      <c r="K224" s="93">
        <f t="shared" si="4"/>
        <v>14005.25</v>
      </c>
    </row>
  </sheetData>
  <autoFilter ref="A1:J224" xr:uid="{00000000-0009-0000-0000-000002000000}"/>
  <pageMargins left="0.7" right="0.7" top="0.75" bottom="0.75" header="0.3" footer="0.3"/>
  <customProperties>
    <customPr name="OrphanNamesCheck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52"/>
  <sheetViews>
    <sheetView topLeftCell="A16" workbookViewId="0">
      <selection activeCell="B34" sqref="B34:B35"/>
    </sheetView>
  </sheetViews>
  <sheetFormatPr defaultColWidth="8.7109375" defaultRowHeight="13.5" x14ac:dyDescent="0.25"/>
  <cols>
    <col min="1" max="1" width="2.28515625" style="1" customWidth="1"/>
    <col min="2" max="2" width="17" style="1" bestFit="1" customWidth="1"/>
    <col min="3" max="3" width="20.5703125" style="1" customWidth="1"/>
    <col min="4" max="4" width="12.42578125" style="1" bestFit="1" customWidth="1"/>
    <col min="5" max="5" width="11.28515625" style="1" customWidth="1"/>
    <col min="6" max="6" width="16.85546875" style="1" customWidth="1"/>
    <col min="7" max="7" width="11.28515625" style="1" customWidth="1"/>
    <col min="8" max="8" width="10.42578125" style="1" customWidth="1"/>
    <col min="9" max="9" width="41.28515625" style="1" customWidth="1"/>
    <col min="10" max="11" width="11.7109375" style="1" bestFit="1" customWidth="1"/>
    <col min="12" max="12" width="12.42578125" style="1" bestFit="1" customWidth="1"/>
    <col min="13" max="16384" width="8.7109375" style="1"/>
  </cols>
  <sheetData>
    <row r="1" spans="2:12" x14ac:dyDescent="0.25">
      <c r="H1" s="17"/>
    </row>
    <row r="2" spans="2:12" x14ac:dyDescent="0.25">
      <c r="B2" s="2" t="s">
        <v>8</v>
      </c>
      <c r="C2" s="20" t="s">
        <v>14</v>
      </c>
      <c r="D2" s="15"/>
    </row>
    <row r="3" spans="2:12" x14ac:dyDescent="0.25">
      <c r="B3" s="2" t="s">
        <v>9</v>
      </c>
      <c r="C3" s="15" t="s">
        <v>10</v>
      </c>
    </row>
    <row r="4" spans="2:12" x14ac:dyDescent="0.25">
      <c r="B4" s="2" t="s">
        <v>11</v>
      </c>
      <c r="C4" s="21">
        <v>45291</v>
      </c>
      <c r="D4" s="3"/>
    </row>
    <row r="5" spans="2:12" x14ac:dyDescent="0.25">
      <c r="B5" s="2"/>
      <c r="C5" s="3"/>
      <c r="D5" s="3"/>
    </row>
    <row r="6" spans="2:12" x14ac:dyDescent="0.25">
      <c r="B6" s="41" t="s">
        <v>2</v>
      </c>
      <c r="D6" s="18"/>
      <c r="E6" s="18"/>
      <c r="F6" s="18"/>
      <c r="G6" s="18"/>
      <c r="H6" s="18"/>
      <c r="I6" s="18"/>
    </row>
    <row r="7" spans="2:12" x14ac:dyDescent="0.25">
      <c r="B7" s="42">
        <v>1</v>
      </c>
      <c r="C7" s="43" t="s">
        <v>3</v>
      </c>
      <c r="D7" s="8"/>
      <c r="E7" s="8"/>
      <c r="F7" s="8"/>
      <c r="G7" s="8"/>
      <c r="H7" s="8"/>
      <c r="I7" s="8"/>
    </row>
    <row r="8" spans="2:12" x14ac:dyDescent="0.25">
      <c r="B8" s="42">
        <v>2</v>
      </c>
      <c r="C8" s="43" t="s">
        <v>57</v>
      </c>
      <c r="D8" s="8"/>
      <c r="E8" s="8"/>
      <c r="F8" s="8"/>
      <c r="G8" s="8"/>
      <c r="H8" s="8"/>
      <c r="I8" s="8"/>
    </row>
    <row r="10" spans="2:12" x14ac:dyDescent="0.25">
      <c r="B10" s="16" t="s">
        <v>12</v>
      </c>
      <c r="C10" s="29" t="s">
        <v>4</v>
      </c>
      <c r="D10" s="29" t="s">
        <v>15</v>
      </c>
      <c r="E10" s="29" t="s">
        <v>7</v>
      </c>
      <c r="F10" s="29" t="s">
        <v>13</v>
      </c>
      <c r="G10" s="29" t="s">
        <v>5</v>
      </c>
      <c r="H10" s="29" t="s">
        <v>6</v>
      </c>
      <c r="I10" s="29" t="s">
        <v>16</v>
      </c>
      <c r="J10" s="30" t="s">
        <v>1</v>
      </c>
      <c r="K10" s="30" t="s">
        <v>0</v>
      </c>
      <c r="L10" s="30" t="s">
        <v>17</v>
      </c>
    </row>
    <row r="11" spans="2:12" x14ac:dyDescent="0.25">
      <c r="B11" s="94">
        <v>1</v>
      </c>
      <c r="C11" s="31">
        <v>44931</v>
      </c>
      <c r="D11" s="32" t="s">
        <v>18</v>
      </c>
      <c r="E11" s="33">
        <v>156</v>
      </c>
      <c r="F11" s="32"/>
      <c r="G11" s="32" t="s">
        <v>19</v>
      </c>
      <c r="H11" s="32"/>
      <c r="I11" s="34" t="s">
        <v>20</v>
      </c>
      <c r="J11" s="35">
        <v>20000</v>
      </c>
      <c r="K11" s="35">
        <v>0</v>
      </c>
      <c r="L11" s="35">
        <f>+J11-K11</f>
        <v>20000</v>
      </c>
    </row>
    <row r="12" spans="2:12" x14ac:dyDescent="0.25">
      <c r="B12" s="96"/>
      <c r="C12" s="13"/>
      <c r="D12" s="13"/>
      <c r="E12" s="36">
        <v>156</v>
      </c>
      <c r="F12" s="13"/>
      <c r="G12" s="13" t="s">
        <v>19</v>
      </c>
      <c r="H12" s="13">
        <v>4112</v>
      </c>
      <c r="I12" s="13" t="s">
        <v>22</v>
      </c>
      <c r="J12" s="28">
        <v>0</v>
      </c>
      <c r="K12" s="28">
        <v>20000</v>
      </c>
      <c r="L12" s="28">
        <f t="shared" ref="L12" si="0">+J12-K12</f>
        <v>-20000</v>
      </c>
    </row>
    <row r="13" spans="2:12" x14ac:dyDescent="0.25">
      <c r="B13" s="95"/>
      <c r="C13" s="11"/>
      <c r="D13" s="12"/>
      <c r="E13" s="6"/>
      <c r="F13" s="6"/>
      <c r="G13" s="7"/>
      <c r="H13" s="7"/>
      <c r="I13" s="7"/>
      <c r="J13" s="7"/>
      <c r="K13" s="7"/>
      <c r="L13" s="7"/>
    </row>
    <row r="14" spans="2:12" x14ac:dyDescent="0.25">
      <c r="B14" s="22"/>
      <c r="C14" s="23"/>
      <c r="D14" s="24"/>
      <c r="E14" s="25"/>
      <c r="F14" s="25"/>
      <c r="G14" s="26"/>
      <c r="H14" s="26"/>
      <c r="I14" s="22"/>
      <c r="J14" s="22"/>
      <c r="K14" s="22"/>
      <c r="L14" s="22"/>
    </row>
    <row r="15" spans="2:12" x14ac:dyDescent="0.25">
      <c r="B15" s="94">
        <v>2</v>
      </c>
      <c r="C15" s="31">
        <v>44985</v>
      </c>
      <c r="D15" s="32" t="s">
        <v>18</v>
      </c>
      <c r="E15" s="33">
        <v>183</v>
      </c>
      <c r="F15" s="32"/>
      <c r="G15" s="32" t="s">
        <v>23</v>
      </c>
      <c r="H15" s="32">
        <v>1130.01</v>
      </c>
      <c r="I15" s="32" t="s">
        <v>24</v>
      </c>
      <c r="J15" s="35">
        <v>26310.62</v>
      </c>
      <c r="K15" s="35">
        <v>0</v>
      </c>
      <c r="L15" s="35">
        <f t="shared" ref="L15:L16" si="1">+J15-K15</f>
        <v>26310.62</v>
      </c>
    </row>
    <row r="16" spans="2:12" x14ac:dyDescent="0.25">
      <c r="B16" s="96"/>
      <c r="C16" s="13"/>
      <c r="D16" s="13"/>
      <c r="E16" s="36">
        <f t="shared" ref="E16" si="2">E15</f>
        <v>183</v>
      </c>
      <c r="F16" s="13"/>
      <c r="G16" s="13" t="s">
        <v>23</v>
      </c>
      <c r="H16" s="13">
        <v>4112</v>
      </c>
      <c r="I16" s="13" t="s">
        <v>21</v>
      </c>
      <c r="J16" s="28">
        <v>0</v>
      </c>
      <c r="K16" s="28">
        <v>26310.62</v>
      </c>
      <c r="L16" s="28">
        <f t="shared" si="1"/>
        <v>-26310.62</v>
      </c>
    </row>
    <row r="17" spans="2:12" x14ac:dyDescent="0.25">
      <c r="B17" s="95"/>
      <c r="C17" s="11"/>
      <c r="D17" s="12"/>
      <c r="E17" s="6"/>
      <c r="F17" s="6"/>
      <c r="G17" s="7"/>
      <c r="H17" s="7"/>
      <c r="I17" s="14"/>
      <c r="J17" s="14"/>
      <c r="K17" s="14"/>
      <c r="L17" s="14"/>
    </row>
    <row r="18" spans="2:12" x14ac:dyDescent="0.25">
      <c r="B18" s="22"/>
      <c r="C18" s="23"/>
      <c r="D18" s="24"/>
      <c r="E18" s="25"/>
      <c r="F18" s="25"/>
      <c r="G18" s="26"/>
      <c r="H18" s="26"/>
      <c r="I18" s="22"/>
      <c r="J18" s="22"/>
      <c r="K18" s="22"/>
      <c r="L18" s="22"/>
    </row>
    <row r="19" spans="2:12" x14ac:dyDescent="0.25">
      <c r="B19" s="94">
        <v>3</v>
      </c>
      <c r="C19" s="31">
        <v>44938</v>
      </c>
      <c r="D19" s="32" t="s">
        <v>18</v>
      </c>
      <c r="E19" s="33">
        <v>170</v>
      </c>
      <c r="F19" s="32"/>
      <c r="G19" s="32" t="s">
        <v>25</v>
      </c>
      <c r="H19" s="32">
        <v>4120.03</v>
      </c>
      <c r="I19" s="32" t="s">
        <v>26</v>
      </c>
      <c r="J19" s="35">
        <v>0</v>
      </c>
      <c r="K19" s="35">
        <v>16846.37</v>
      </c>
      <c r="L19" s="35">
        <f t="shared" ref="L19:L20" si="3">+J19-K19</f>
        <v>-16846.37</v>
      </c>
    </row>
    <row r="20" spans="2:12" x14ac:dyDescent="0.25">
      <c r="B20" s="96"/>
      <c r="C20" s="13"/>
      <c r="D20" s="13"/>
      <c r="E20" s="36">
        <f>E19</f>
        <v>170</v>
      </c>
      <c r="F20" s="13"/>
      <c r="G20" s="13" t="s">
        <v>27</v>
      </c>
      <c r="H20" s="13">
        <v>1145.01</v>
      </c>
      <c r="I20" s="13" t="s">
        <v>28</v>
      </c>
      <c r="J20" s="28">
        <v>16846.37</v>
      </c>
      <c r="K20" s="28">
        <v>0</v>
      </c>
      <c r="L20" s="28">
        <f t="shared" si="3"/>
        <v>16846.37</v>
      </c>
    </row>
    <row r="21" spans="2:12" x14ac:dyDescent="0.25">
      <c r="B21" s="95"/>
      <c r="C21" s="11"/>
      <c r="D21" s="12"/>
      <c r="E21" s="6"/>
      <c r="F21" s="6"/>
      <c r="G21" s="7"/>
      <c r="H21" s="7"/>
      <c r="I21" s="14"/>
      <c r="J21" s="14"/>
      <c r="K21" s="14"/>
      <c r="L21" s="14"/>
    </row>
    <row r="22" spans="2:12" x14ac:dyDescent="0.25">
      <c r="B22" s="22"/>
      <c r="C22" s="23"/>
      <c r="D22" s="24"/>
      <c r="E22" s="25"/>
      <c r="F22" s="25"/>
      <c r="G22" s="26"/>
      <c r="H22" s="26"/>
      <c r="I22" s="22"/>
      <c r="J22" s="22"/>
      <c r="K22" s="22"/>
      <c r="L22" s="22"/>
    </row>
    <row r="23" spans="2:12" x14ac:dyDescent="0.25">
      <c r="B23" s="94">
        <v>4</v>
      </c>
      <c r="C23" s="31">
        <v>45218</v>
      </c>
      <c r="D23" s="32" t="s">
        <v>18</v>
      </c>
      <c r="E23" s="33">
        <v>276</v>
      </c>
      <c r="F23" s="32"/>
      <c r="G23" s="34" t="s">
        <v>33</v>
      </c>
      <c r="H23" s="32">
        <v>3000.01</v>
      </c>
      <c r="I23" s="32" t="s">
        <v>34</v>
      </c>
      <c r="J23" s="35">
        <v>3655.77</v>
      </c>
      <c r="K23" s="35">
        <v>0</v>
      </c>
      <c r="L23" s="35">
        <f t="shared" ref="L23:L26" si="4">+J23-K23</f>
        <v>3655.77</v>
      </c>
    </row>
    <row r="24" spans="2:12" x14ac:dyDescent="0.25">
      <c r="B24" s="96"/>
      <c r="C24" s="13"/>
      <c r="D24" s="13"/>
      <c r="E24" s="36">
        <v>276</v>
      </c>
      <c r="F24" s="13"/>
      <c r="G24" s="37" t="s">
        <v>33</v>
      </c>
      <c r="H24" s="13">
        <v>3000.01</v>
      </c>
      <c r="I24" s="13" t="s">
        <v>34</v>
      </c>
      <c r="J24" s="28">
        <v>89777.93</v>
      </c>
      <c r="K24" s="28">
        <v>0</v>
      </c>
      <c r="L24" s="28">
        <f t="shared" si="4"/>
        <v>89777.93</v>
      </c>
    </row>
    <row r="25" spans="2:12" x14ac:dyDescent="0.25">
      <c r="B25" s="96"/>
      <c r="C25" s="13"/>
      <c r="D25" s="13"/>
      <c r="E25" s="36">
        <v>276</v>
      </c>
      <c r="F25" s="13"/>
      <c r="G25" s="37" t="s">
        <v>33</v>
      </c>
      <c r="H25" s="13"/>
      <c r="I25" s="13" t="s">
        <v>31</v>
      </c>
      <c r="J25" s="28">
        <v>0</v>
      </c>
      <c r="K25" s="28">
        <v>3655.77</v>
      </c>
      <c r="L25" s="28">
        <f t="shared" si="4"/>
        <v>-3655.77</v>
      </c>
    </row>
    <row r="26" spans="2:12" x14ac:dyDescent="0.25">
      <c r="B26" s="95"/>
      <c r="C26" s="14"/>
      <c r="D26" s="14"/>
      <c r="E26" s="38">
        <v>276</v>
      </c>
      <c r="F26" s="14"/>
      <c r="G26" s="39" t="s">
        <v>33</v>
      </c>
      <c r="H26" s="14"/>
      <c r="I26" s="14" t="s">
        <v>31</v>
      </c>
      <c r="J26" s="40">
        <v>0</v>
      </c>
      <c r="K26" s="40">
        <v>89777.93</v>
      </c>
      <c r="L26" s="40">
        <f t="shared" si="4"/>
        <v>-89777.93</v>
      </c>
    </row>
    <row r="27" spans="2:12" x14ac:dyDescent="0.25">
      <c r="B27" s="13"/>
      <c r="C27" s="9"/>
      <c r="D27" s="10"/>
      <c r="E27" s="4"/>
      <c r="F27" s="4"/>
      <c r="G27" s="5"/>
      <c r="H27" s="5"/>
      <c r="I27" s="13"/>
      <c r="J27" s="9"/>
      <c r="K27" s="10"/>
      <c r="L27" s="4"/>
    </row>
    <row r="28" spans="2:12" x14ac:dyDescent="0.25">
      <c r="B28" s="94">
        <v>5</v>
      </c>
      <c r="C28" s="31">
        <v>44946</v>
      </c>
      <c r="D28" s="32" t="s">
        <v>18</v>
      </c>
      <c r="E28" s="33">
        <v>155</v>
      </c>
      <c r="F28" s="32"/>
      <c r="G28" s="32" t="s">
        <v>19</v>
      </c>
      <c r="H28" s="32"/>
      <c r="I28" s="34" t="s">
        <v>20</v>
      </c>
      <c r="J28" s="35">
        <v>25000</v>
      </c>
      <c r="K28" s="35">
        <v>0</v>
      </c>
      <c r="L28" s="35">
        <f t="shared" ref="L28:L29" si="5">+J28-K28</f>
        <v>25000</v>
      </c>
    </row>
    <row r="29" spans="2:12" x14ac:dyDescent="0.25">
      <c r="B29" s="95"/>
      <c r="C29" s="14"/>
      <c r="D29" s="14"/>
      <c r="E29" s="38">
        <f>E28</f>
        <v>155</v>
      </c>
      <c r="F29" s="14"/>
      <c r="G29" s="14" t="s">
        <v>19</v>
      </c>
      <c r="H29" s="14">
        <v>4112</v>
      </c>
      <c r="I29" s="14" t="s">
        <v>29</v>
      </c>
      <c r="J29" s="40">
        <v>0</v>
      </c>
      <c r="K29" s="40">
        <v>25000</v>
      </c>
      <c r="L29" s="40">
        <f t="shared" si="5"/>
        <v>-25000</v>
      </c>
    </row>
    <row r="30" spans="2:12" x14ac:dyDescent="0.25">
      <c r="B30" s="13"/>
      <c r="C30" s="9"/>
      <c r="D30" s="10"/>
      <c r="E30" s="4"/>
      <c r="F30" s="4"/>
      <c r="G30" s="5"/>
      <c r="H30" s="5"/>
      <c r="I30" s="13"/>
      <c r="J30" s="9"/>
      <c r="K30" s="10"/>
      <c r="L30" s="4"/>
    </row>
    <row r="31" spans="2:12" x14ac:dyDescent="0.25">
      <c r="B31" s="94">
        <v>6</v>
      </c>
      <c r="C31" s="31">
        <v>45291</v>
      </c>
      <c r="D31" s="32" t="s">
        <v>18</v>
      </c>
      <c r="E31" s="33">
        <v>319</v>
      </c>
      <c r="F31" s="32"/>
      <c r="G31" s="32" t="s">
        <v>50</v>
      </c>
      <c r="H31" s="32">
        <v>1130.01</v>
      </c>
      <c r="I31" s="32" t="s">
        <v>51</v>
      </c>
      <c r="J31" s="35">
        <v>0</v>
      </c>
      <c r="K31" s="35">
        <v>26310.62</v>
      </c>
      <c r="L31" s="35">
        <f t="shared" ref="L31:L32" si="6">+J31-K31</f>
        <v>-26310.62</v>
      </c>
    </row>
    <row r="32" spans="2:12" x14ac:dyDescent="0.25">
      <c r="B32" s="95"/>
      <c r="C32" s="14"/>
      <c r="D32" s="14"/>
      <c r="E32" s="38">
        <f>E31</f>
        <v>319</v>
      </c>
      <c r="F32" s="14"/>
      <c r="G32" s="14" t="s">
        <v>50</v>
      </c>
      <c r="H32" s="14">
        <v>4112</v>
      </c>
      <c r="I32" s="14" t="s">
        <v>29</v>
      </c>
      <c r="J32" s="40">
        <v>26310.62</v>
      </c>
      <c r="K32" s="40">
        <v>0</v>
      </c>
      <c r="L32" s="40">
        <f t="shared" si="6"/>
        <v>26310.62</v>
      </c>
    </row>
    <row r="33" spans="2:12" x14ac:dyDescent="0.25">
      <c r="B33" s="13"/>
      <c r="C33" s="9"/>
      <c r="D33" s="10"/>
      <c r="E33" s="4"/>
      <c r="F33" s="4"/>
      <c r="G33" s="5"/>
      <c r="H33" s="5"/>
      <c r="I33" s="13"/>
      <c r="J33" s="9"/>
      <c r="K33" s="10"/>
      <c r="L33" s="4"/>
    </row>
    <row r="34" spans="2:12" x14ac:dyDescent="0.25">
      <c r="B34" s="94">
        <v>7</v>
      </c>
      <c r="C34" s="31">
        <v>45169</v>
      </c>
      <c r="D34" s="32" t="s">
        <v>18</v>
      </c>
      <c r="E34" s="33">
        <v>273</v>
      </c>
      <c r="F34" s="32"/>
      <c r="G34" s="34" t="s">
        <v>30</v>
      </c>
      <c r="H34" s="32"/>
      <c r="I34" s="32" t="s">
        <v>31</v>
      </c>
      <c r="J34" s="35">
        <v>84557.98</v>
      </c>
      <c r="K34" s="35">
        <v>0</v>
      </c>
      <c r="L34" s="35">
        <f t="shared" ref="L34:L35" si="7">+J34-K34</f>
        <v>84557.98</v>
      </c>
    </row>
    <row r="35" spans="2:12" x14ac:dyDescent="0.25">
      <c r="B35" s="95"/>
      <c r="C35" s="14"/>
      <c r="D35" s="14"/>
      <c r="E35" s="38">
        <v>273</v>
      </c>
      <c r="F35" s="14"/>
      <c r="G35" s="39" t="s">
        <v>30</v>
      </c>
      <c r="H35" s="14">
        <v>4120.04</v>
      </c>
      <c r="I35" s="14" t="s">
        <v>32</v>
      </c>
      <c r="J35" s="40">
        <v>0</v>
      </c>
      <c r="K35" s="40">
        <v>84557.98</v>
      </c>
      <c r="L35" s="40">
        <f t="shared" si="7"/>
        <v>-84557.98</v>
      </c>
    </row>
    <row r="36" spans="2:12" x14ac:dyDescent="0.25">
      <c r="B36" s="13"/>
      <c r="C36" s="27"/>
      <c r="D36" s="19"/>
      <c r="E36" s="13"/>
      <c r="F36" s="13"/>
      <c r="G36" s="28"/>
      <c r="H36" s="28"/>
      <c r="I36" s="13"/>
      <c r="J36" s="9"/>
      <c r="K36" s="10"/>
      <c r="L36" s="4"/>
    </row>
    <row r="37" spans="2:12" x14ac:dyDescent="0.25">
      <c r="B37" s="94">
        <v>8</v>
      </c>
      <c r="C37" s="31">
        <v>45291</v>
      </c>
      <c r="D37" s="32" t="s">
        <v>18</v>
      </c>
      <c r="E37" s="33">
        <v>327</v>
      </c>
      <c r="F37" s="32"/>
      <c r="G37" s="32" t="s">
        <v>35</v>
      </c>
      <c r="H37" s="32">
        <v>2230</v>
      </c>
      <c r="I37" s="32" t="s">
        <v>36</v>
      </c>
      <c r="J37" s="35">
        <v>150062.07</v>
      </c>
      <c r="K37" s="35">
        <v>0</v>
      </c>
      <c r="L37" s="35">
        <f t="shared" ref="L37:L38" si="8">+J37-K37</f>
        <v>150062.07</v>
      </c>
    </row>
    <row r="38" spans="2:12" x14ac:dyDescent="0.25">
      <c r="B38" s="95"/>
      <c r="C38" s="14"/>
      <c r="D38" s="14"/>
      <c r="E38" s="38">
        <f>E37</f>
        <v>327</v>
      </c>
      <c r="F38" s="14"/>
      <c r="G38" s="14" t="s">
        <v>35</v>
      </c>
      <c r="H38" s="14">
        <v>4120.0200000000004</v>
      </c>
      <c r="I38" s="14" t="s">
        <v>37</v>
      </c>
      <c r="J38" s="40">
        <v>0</v>
      </c>
      <c r="K38" s="40">
        <v>150062.07</v>
      </c>
      <c r="L38" s="40">
        <f t="shared" si="8"/>
        <v>-150062.07</v>
      </c>
    </row>
    <row r="39" spans="2:12" x14ac:dyDescent="0.25">
      <c r="B39" s="13"/>
      <c r="C39" s="9"/>
      <c r="D39" s="10"/>
      <c r="E39" s="4"/>
      <c r="F39" s="4"/>
      <c r="G39" s="5"/>
      <c r="H39" s="5"/>
      <c r="I39" s="13"/>
      <c r="J39" s="9"/>
      <c r="K39" s="10"/>
      <c r="L39" s="4"/>
    </row>
    <row r="40" spans="2:12" x14ac:dyDescent="0.25">
      <c r="B40" s="94">
        <v>9</v>
      </c>
      <c r="C40" s="31">
        <v>45291</v>
      </c>
      <c r="D40" s="32" t="s">
        <v>18</v>
      </c>
      <c r="E40" s="33">
        <v>328</v>
      </c>
      <c r="F40" s="32"/>
      <c r="G40" s="32" t="s">
        <v>38</v>
      </c>
      <c r="H40" s="32">
        <v>1145.01</v>
      </c>
      <c r="I40" s="32" t="s">
        <v>28</v>
      </c>
      <c r="J40" s="35">
        <v>0</v>
      </c>
      <c r="K40" s="35">
        <v>30306.37</v>
      </c>
      <c r="L40" s="35">
        <f t="shared" ref="L40:L43" si="9">+J40-K40</f>
        <v>-30306.37</v>
      </c>
    </row>
    <row r="41" spans="2:12" x14ac:dyDescent="0.25">
      <c r="B41" s="96"/>
      <c r="C41" s="13"/>
      <c r="D41" s="13"/>
      <c r="E41" s="36">
        <f t="shared" ref="E41:E43" si="10">E40</f>
        <v>328</v>
      </c>
      <c r="F41" s="13"/>
      <c r="G41" s="13" t="s">
        <v>38</v>
      </c>
      <c r="H41" s="13">
        <v>4120.03</v>
      </c>
      <c r="I41" s="13" t="s">
        <v>26</v>
      </c>
      <c r="J41" s="28">
        <v>30306.37</v>
      </c>
      <c r="K41" s="28">
        <v>0</v>
      </c>
      <c r="L41" s="28">
        <f t="shared" si="9"/>
        <v>30306.37</v>
      </c>
    </row>
    <row r="42" spans="2:12" x14ac:dyDescent="0.25">
      <c r="B42" s="96"/>
      <c r="C42" s="13"/>
      <c r="D42" s="13"/>
      <c r="E42" s="36">
        <f t="shared" si="10"/>
        <v>328</v>
      </c>
      <c r="F42" s="13"/>
      <c r="G42" s="13" t="s">
        <v>39</v>
      </c>
      <c r="H42" s="13">
        <v>4120.03</v>
      </c>
      <c r="I42" s="13" t="s">
        <v>40</v>
      </c>
      <c r="J42" s="28">
        <v>0</v>
      </c>
      <c r="K42" s="28">
        <v>38596.720000000001</v>
      </c>
      <c r="L42" s="28">
        <f t="shared" si="9"/>
        <v>-38596.720000000001</v>
      </c>
    </row>
    <row r="43" spans="2:12" x14ac:dyDescent="0.25">
      <c r="B43" s="95"/>
      <c r="C43" s="14"/>
      <c r="D43" s="14"/>
      <c r="E43" s="38">
        <f t="shared" si="10"/>
        <v>328</v>
      </c>
      <c r="F43" s="14"/>
      <c r="G43" s="14" t="s">
        <v>39</v>
      </c>
      <c r="H43" s="14">
        <v>1136</v>
      </c>
      <c r="I43" s="14" t="s">
        <v>41</v>
      </c>
      <c r="J43" s="40">
        <v>38596.720000000001</v>
      </c>
      <c r="K43" s="40">
        <v>0</v>
      </c>
      <c r="L43" s="40">
        <f t="shared" si="9"/>
        <v>38596.720000000001</v>
      </c>
    </row>
    <row r="44" spans="2:12" x14ac:dyDescent="0.25">
      <c r="B44" s="13"/>
      <c r="C44" s="9"/>
      <c r="D44" s="10"/>
      <c r="E44" s="4"/>
      <c r="F44" s="4"/>
      <c r="G44" s="5"/>
      <c r="H44" s="5"/>
      <c r="I44" s="13"/>
      <c r="J44" s="9"/>
      <c r="K44" s="10"/>
      <c r="L44" s="4"/>
    </row>
    <row r="45" spans="2:12" x14ac:dyDescent="0.25">
      <c r="B45" s="94">
        <v>10</v>
      </c>
      <c r="C45" s="31">
        <v>45291</v>
      </c>
      <c r="D45" s="32" t="s">
        <v>18</v>
      </c>
      <c r="E45" s="33">
        <v>340</v>
      </c>
      <c r="F45" s="32"/>
      <c r="G45" s="32" t="s">
        <v>42</v>
      </c>
      <c r="H45" s="32">
        <v>4120.0200000000004</v>
      </c>
      <c r="I45" s="32" t="s">
        <v>43</v>
      </c>
      <c r="J45" s="35">
        <v>150062.07</v>
      </c>
      <c r="K45" s="35">
        <v>0</v>
      </c>
      <c r="L45" s="35">
        <f t="shared" ref="L45:L52" si="11">+J45-K45</f>
        <v>150062.07</v>
      </c>
    </row>
    <row r="46" spans="2:12" x14ac:dyDescent="0.25">
      <c r="B46" s="96"/>
      <c r="C46" s="13"/>
      <c r="D46" s="13"/>
      <c r="E46" s="36">
        <f t="shared" ref="E46:E52" si="12">E45</f>
        <v>340</v>
      </c>
      <c r="F46" s="13"/>
      <c r="G46" s="13" t="s">
        <v>42</v>
      </c>
      <c r="H46" s="13">
        <v>4120.03</v>
      </c>
      <c r="I46" s="13" t="s">
        <v>44</v>
      </c>
      <c r="J46" s="28">
        <v>440582.5</v>
      </c>
      <c r="K46" s="28">
        <v>0</v>
      </c>
      <c r="L46" s="28">
        <f t="shared" si="11"/>
        <v>440582.5</v>
      </c>
    </row>
    <row r="47" spans="2:12" x14ac:dyDescent="0.25">
      <c r="B47" s="96"/>
      <c r="C47" s="13"/>
      <c r="D47" s="13"/>
      <c r="E47" s="36">
        <f t="shared" si="12"/>
        <v>340</v>
      </c>
      <c r="F47" s="13"/>
      <c r="G47" s="13" t="s">
        <v>42</v>
      </c>
      <c r="H47" s="13">
        <v>4120.04</v>
      </c>
      <c r="I47" s="13" t="s">
        <v>45</v>
      </c>
      <c r="J47" s="28">
        <v>68216.39</v>
      </c>
      <c r="K47" s="28">
        <v>0</v>
      </c>
      <c r="L47" s="28">
        <f t="shared" si="11"/>
        <v>68216.39</v>
      </c>
    </row>
    <row r="48" spans="2:12" x14ac:dyDescent="0.25">
      <c r="B48" s="96"/>
      <c r="C48" s="13"/>
      <c r="D48" s="13"/>
      <c r="E48" s="36">
        <f t="shared" si="12"/>
        <v>340</v>
      </c>
      <c r="F48" s="13"/>
      <c r="G48" s="13" t="s">
        <v>42</v>
      </c>
      <c r="H48" s="13">
        <v>4150</v>
      </c>
      <c r="I48" s="13" t="s">
        <v>46</v>
      </c>
      <c r="J48" s="28">
        <v>0</v>
      </c>
      <c r="K48" s="28">
        <v>150062.07</v>
      </c>
      <c r="L48" s="28">
        <f t="shared" si="11"/>
        <v>-150062.07</v>
      </c>
    </row>
    <row r="49" spans="2:12" x14ac:dyDescent="0.25">
      <c r="B49" s="96"/>
      <c r="C49" s="13"/>
      <c r="D49" s="13"/>
      <c r="E49" s="36">
        <f t="shared" si="12"/>
        <v>340</v>
      </c>
      <c r="F49" s="13"/>
      <c r="G49" s="13" t="s">
        <v>42</v>
      </c>
      <c r="H49" s="13">
        <v>4150</v>
      </c>
      <c r="I49" s="13" t="s">
        <v>46</v>
      </c>
      <c r="J49" s="28">
        <v>0</v>
      </c>
      <c r="K49" s="28">
        <v>440582.5</v>
      </c>
      <c r="L49" s="28">
        <f t="shared" si="11"/>
        <v>-440582.5</v>
      </c>
    </row>
    <row r="50" spans="2:12" x14ac:dyDescent="0.25">
      <c r="B50" s="96"/>
      <c r="C50" s="13"/>
      <c r="D50" s="13"/>
      <c r="E50" s="36">
        <f t="shared" si="12"/>
        <v>340</v>
      </c>
      <c r="F50" s="13"/>
      <c r="G50" s="13" t="s">
        <v>42</v>
      </c>
      <c r="H50" s="13">
        <v>4150</v>
      </c>
      <c r="I50" s="13" t="s">
        <v>47</v>
      </c>
      <c r="J50" s="28">
        <v>0</v>
      </c>
      <c r="K50" s="28">
        <v>68216.39</v>
      </c>
      <c r="L50" s="28">
        <f t="shared" si="11"/>
        <v>-68216.39</v>
      </c>
    </row>
    <row r="51" spans="2:12" x14ac:dyDescent="0.25">
      <c r="B51" s="96"/>
      <c r="C51" s="13"/>
      <c r="D51" s="13"/>
      <c r="E51" s="36">
        <f t="shared" si="12"/>
        <v>340</v>
      </c>
      <c r="F51" s="13"/>
      <c r="G51" s="13" t="s">
        <v>42</v>
      </c>
      <c r="H51" s="13"/>
      <c r="I51" s="13" t="s">
        <v>48</v>
      </c>
      <c r="J51" s="28">
        <v>602.97</v>
      </c>
      <c r="K51" s="28">
        <v>0</v>
      </c>
      <c r="L51" s="28">
        <f t="shared" si="11"/>
        <v>602.97</v>
      </c>
    </row>
    <row r="52" spans="2:12" x14ac:dyDescent="0.25">
      <c r="B52" s="95"/>
      <c r="C52" s="14"/>
      <c r="D52" s="14"/>
      <c r="E52" s="38">
        <f t="shared" si="12"/>
        <v>340</v>
      </c>
      <c r="F52" s="14"/>
      <c r="G52" s="14" t="s">
        <v>42</v>
      </c>
      <c r="H52" s="14">
        <v>5100</v>
      </c>
      <c r="I52" s="14" t="s">
        <v>49</v>
      </c>
      <c r="J52" s="40">
        <v>0</v>
      </c>
      <c r="K52" s="40">
        <v>602.97</v>
      </c>
      <c r="L52" s="40">
        <f t="shared" si="11"/>
        <v>-602.97</v>
      </c>
    </row>
  </sheetData>
  <mergeCells count="10">
    <mergeCell ref="B34:B35"/>
    <mergeCell ref="B37:B38"/>
    <mergeCell ref="B40:B43"/>
    <mergeCell ref="B45:B52"/>
    <mergeCell ref="B11:B13"/>
    <mergeCell ref="B15:B17"/>
    <mergeCell ref="B19:B21"/>
    <mergeCell ref="B23:B26"/>
    <mergeCell ref="B28:B29"/>
    <mergeCell ref="B31:B32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</vt:lpstr>
      <vt:lpstr>Samples 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2025-09-24T10:27:40Z</dcterms:modified>
</cp:coreProperties>
</file>