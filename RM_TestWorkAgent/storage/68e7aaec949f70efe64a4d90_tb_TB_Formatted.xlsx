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formatetd gl tb/"/>
    </mc:Choice>
  </mc:AlternateContent>
  <xr:revisionPtr revIDLastSave="3" documentId="13_ncr:1_{7DEBA5CE-8EB1-469E-A239-57E78FBCB269}" xr6:coauthVersionLast="47" xr6:coauthVersionMax="47" xr10:uidLastSave="{5CD0FFF5-EFE4-43FB-A38B-B49BF59D3B99}"/>
  <bookViews>
    <workbookView xWindow="-120" yWindow="-120" windowWidth="29040" windowHeight="15720" firstSheet="1" activeTab="1" xr2:uid="{00000000-000D-0000-FFFF-FFFF00000000}"/>
  </bookViews>
  <sheets>
    <sheet name="TB Import" sheetId="3" state="hidden" r:id="rId1"/>
    <sheet name="TB Formatted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'TB Formatted'!$A$1:$E$50</definedName>
    <definedName name="ActualNumberOfPayments" localSheetId="1">IFERROR(IF('TB Formatted'!LoanIsGood,IF('TB Formatted'!PaymentsPerYear=1,1,MATCH(0.01,'TB Formatted'!End_Bal,-1)+1)),"")</definedName>
    <definedName name="ActualNumberOfPayments" localSheetId="0">IFERROR(IF('TB Import'!LoanIsGood,IF('TB Import'!PaymentsPerYear=1,1,MATCH(0.01,'TB Import'!End_Bal,-1)+1)),"")</definedName>
    <definedName name="ActualNumberOfPayments">IFERROR(IF(LoanIsGood,IF(PaymentsPerYear=1,1,MATCH(0.01,End_Bal,-1)+1)),"")</definedName>
    <definedName name="AllFTEs" localSheetId="1">#REF!</definedName>
    <definedName name="AllFTEs" localSheetId="0">#REF!</definedName>
    <definedName name="AllFTEs">#REF!</definedName>
    <definedName name="Breakfast.Base">[1]pg27a!$M$5</definedName>
    <definedName name="Breakfast.Free">[1]pg27a!$M$3</definedName>
    <definedName name="Breakfast.Reduced">[1]pg27a!$M$4</definedName>
    <definedName name="CCFP1" localSheetId="1">#REF!</definedName>
    <definedName name="CCFP1" localSheetId="0">#REF!</definedName>
    <definedName name="CCFP1">#REF!</definedName>
    <definedName name="CCFP2" localSheetId="1">#REF!</definedName>
    <definedName name="CCFP2" localSheetId="0">#REF!</definedName>
    <definedName name="CCFP2">#REF!</definedName>
    <definedName name="ColumnTitle1" localSheetId="1">#REF!</definedName>
    <definedName name="ColumnTitle1" localSheetId="0">#REF!</definedName>
    <definedName name="ColumnTitle1">#REF!</definedName>
    <definedName name="CostCenter_Calc" localSheetId="1">#REF!</definedName>
    <definedName name="CostCenter_Calc" localSheetId="0">#REF!</definedName>
    <definedName name="CostCenter_Calc">#REF!</definedName>
    <definedName name="CostCenter_Percentages" localSheetId="1">#REF!</definedName>
    <definedName name="CostCenter_Percentages" localSheetId="0">#REF!</definedName>
    <definedName name="CostCenter_Percentages">#REF!</definedName>
    <definedName name="CostCenter_Totals" localSheetId="1">#REF!</definedName>
    <definedName name="CostCenter_Totals" localSheetId="0">#REF!</definedName>
    <definedName name="CostCenter_Totals">#REF!</definedName>
    <definedName name="End_Bal" localSheetId="1">#REF!</definedName>
    <definedName name="End_Bal" localSheetId="0">#REF!</definedName>
    <definedName name="End_Bal">#REF!</definedName>
    <definedName name="ExtraPayments" localSheetId="1">#REF!</definedName>
    <definedName name="ExtraPayments" localSheetId="0">#REF!</definedName>
    <definedName name="ExtraPayments">#REF!</definedName>
    <definedName name="FBG" localSheetId="1">'[2]Pg3-COE1'!#REF!</definedName>
    <definedName name="FBG" localSheetId="0">'[2]Pg3-COE1'!#REF!</definedName>
    <definedName name="FBG">'[2]Pg3-COE1'!#REF!</definedName>
    <definedName name="Fees" localSheetId="1">#REF!</definedName>
    <definedName name="Fees" localSheetId="0">#REF!</definedName>
    <definedName name="Fees">#REF!</definedName>
    <definedName name="FoodFTEs" localSheetId="1">#REF!</definedName>
    <definedName name="FoodFTEs" localSheetId="0">#REF!</definedName>
    <definedName name="FoodFTEs">#REF!</definedName>
    <definedName name="foodftess" localSheetId="1">#REF!</definedName>
    <definedName name="foodftess" localSheetId="0">#REF!</definedName>
    <definedName name="foodftess">#REF!</definedName>
    <definedName name="InterestRate" localSheetId="1">#REF!</definedName>
    <definedName name="InterestRate" localSheetId="0">#REF!</definedName>
    <definedName name="InterestRate">#REF!</definedName>
    <definedName name="LastCol" localSheetId="1">MATCH(REPT("z",255),#REF!)</definedName>
    <definedName name="LastCol" localSheetId="0">MATCH(REPT("z",255),#REF!)</definedName>
    <definedName name="LastCol">MATCH(REPT("z",255),#REF!)</definedName>
    <definedName name="LastRow" localSheetId="1">MATCH(9.99E+307,#REF!)</definedName>
    <definedName name="LastRow" localSheetId="0">MATCH(9.99E+307,#REF!)</definedName>
    <definedName name="LastRow">MATCH(9.99E+307,#REF!)</definedName>
    <definedName name="LenderName" localSheetId="1">#REF!</definedName>
    <definedName name="LenderName" localSheetId="0">#REF!</definedName>
    <definedName name="LenderName">#REF!</definedName>
    <definedName name="LoanAmount" localSheetId="1">#REF!</definedName>
    <definedName name="LoanAmount" localSheetId="0">#REF!</definedName>
    <definedName name="LoanAmount">#REF!</definedName>
    <definedName name="LoanIsGood" localSheetId="1">(#REF!*#REF!*#REF!*#REF!)&gt;0</definedName>
    <definedName name="LoanIsGood" localSheetId="0">(#REF!*#REF!*#REF!*#REF!)&gt;0</definedName>
    <definedName name="LoanIsGood">(#REF!*#REF!*#REF!*#REF!)&gt;0</definedName>
    <definedName name="LoanPeriod" localSheetId="1">#REF!</definedName>
    <definedName name="LoanPeriod" localSheetId="0">#REF!</definedName>
    <definedName name="LoanPeriod">#REF!</definedName>
    <definedName name="LoanStartDate" localSheetId="1">#REF!</definedName>
    <definedName name="LoanStartDate" localSheetId="0">#REF!</definedName>
    <definedName name="LoanStartDate">#REF!</definedName>
    <definedName name="Lunch.Base">[1]pg27a!$N$5</definedName>
    <definedName name="Lunch.Free">[1]pg27a!$N$3</definedName>
    <definedName name="Lunch.Reduced">[1]pg27a!$N$4</definedName>
    <definedName name="PaymentsPerYear" localSheetId="1">#REF!</definedName>
    <definedName name="PaymentsPerYear" localSheetId="0">#REF!</definedName>
    <definedName name="PaymentsPerYear">#REF!</definedName>
    <definedName name="Payroll" localSheetId="1">#REF!</definedName>
    <definedName name="Payroll" localSheetId="0">#REF!</definedName>
    <definedName name="Payroll">#REF!</definedName>
    <definedName name="PrintArea_SET" localSheetId="1">OFFSET(#REF!,,,'TB Formatted'!LastRow,'TB Formatted'!LastCol)</definedName>
    <definedName name="PrintArea_SET" localSheetId="0">OFFSET(#REF!,,,'TB Import'!LastRow,'TB Import'!LastCol)</definedName>
    <definedName name="PrintArea_SET">OFFSET(#REF!,,,LastRow,LastCol)</definedName>
    <definedName name="PS" localSheetId="1">#REF!</definedName>
    <definedName name="PS" localSheetId="0">#REF!</definedName>
    <definedName name="PS">#REF!</definedName>
    <definedName name="RowTitleRegion1..E9" localSheetId="1">#REF!</definedName>
    <definedName name="RowTitleRegion1..E9" localSheetId="0">#REF!</definedName>
    <definedName name="RowTitleRegion1..E9">#REF!</definedName>
    <definedName name="RowTitleRegion2..I7" localSheetId="1">#REF!</definedName>
    <definedName name="RowTitleRegion2..I7" localSheetId="0">#REF!</definedName>
    <definedName name="RowTitleRegion2..I7">#REF!</definedName>
    <definedName name="RowTitleRegion3..E9" localSheetId="1">#REF!</definedName>
    <definedName name="RowTitleRegion3..E9" localSheetId="0">#REF!</definedName>
    <definedName name="RowTitleRegion3..E9">#REF!</definedName>
    <definedName name="RowTitleRegion4..H9" localSheetId="1">#REF!</definedName>
    <definedName name="RowTitleRegion4..H9" localSheetId="0">#REF!</definedName>
    <definedName name="RowTitleRegion4..H9">#REF!</definedName>
    <definedName name="SAC0" localSheetId="1">'[3]Pg3-COE1'!#REF!</definedName>
    <definedName name="SAC0" localSheetId="0">'[3]Pg3-COE1'!#REF!</definedName>
    <definedName name="SAC0">'[3]Pg3-COE1'!#REF!</definedName>
    <definedName name="ScheduledNumberOfPayments" localSheetId="1">#REF!</definedName>
    <definedName name="ScheduledNumberOfPayments" localSheetId="0">#REF!</definedName>
    <definedName name="ScheduledNumberOfPayments">#REF!</definedName>
    <definedName name="ScheduledPayment" localSheetId="1">#REF!</definedName>
    <definedName name="ScheduledPayment" localSheetId="0">#REF!</definedName>
    <definedName name="ScheduledPayment">#REF!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8">#N/A</definedName>
    <definedName name="SHARED_FORMULA_9">#N/A</definedName>
    <definedName name="Spread_Salaries_Benefits" localSheetId="1">#REF!</definedName>
    <definedName name="Spread_Salaries_Benefits" localSheetId="0">#REF!</definedName>
    <definedName name="Spread_Salaries_Benefits">#REF!</definedName>
    <definedName name="ssss" localSheetId="1">#REF!</definedName>
    <definedName name="ssss" localSheetId="0">#REF!</definedName>
    <definedName name="ssss">#REF!</definedName>
    <definedName name="Supplement.Base">[1]pg27a!$O$5</definedName>
    <definedName name="Supplement.Free">[1]pg27a!$O$3</definedName>
    <definedName name="Supplement.Reduced">[1]pg27a!$O$4</definedName>
    <definedName name="TAM" localSheetId="1">#REF!</definedName>
    <definedName name="TAM" localSheetId="0">#REF!</definedName>
    <definedName name="TAM">#REF!</definedName>
    <definedName name="TotalEarlyPayments" localSheetId="1">SUM(#REF!)</definedName>
    <definedName name="TotalEarlyPayments" localSheetId="0">SUM(#REF!)</definedName>
    <definedName name="TotalEarlyPayments">SUM(#REF!)</definedName>
    <definedName name="TotalInterest" localSheetId="1">SUM(#REF!)</definedName>
    <definedName name="TotalInterest" localSheetId="0">SUM(#REF!)</definedName>
    <definedName name="TotalInterest">SUM(#REF!)</definedName>
    <definedName name="zuzu" localSheetId="1">'[4]Payroll 2002'!#REF!</definedName>
    <definedName name="zuzu" localSheetId="0">'[4]Payroll 2002'!#REF!</definedName>
    <definedName name="zuzu">'[4]Payroll 2002'!#REF!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2" l="1"/>
  <c r="E50" i="2" s="1"/>
  <c r="C49" i="2"/>
  <c r="E49" i="2" s="1"/>
  <c r="C48" i="2"/>
  <c r="E48" i="2" s="1"/>
  <c r="C47" i="2"/>
  <c r="E47" i="2" s="1"/>
  <c r="C46" i="2"/>
  <c r="E46" i="2" s="1"/>
  <c r="C45" i="2"/>
  <c r="E45" i="2" s="1"/>
  <c r="C44" i="2"/>
  <c r="E44" i="2" s="1"/>
  <c r="C43" i="2"/>
  <c r="E43" i="2" s="1"/>
  <c r="C42" i="2"/>
  <c r="E42" i="2" s="1"/>
  <c r="C41" i="2"/>
  <c r="E41" i="2" s="1"/>
  <c r="C40" i="2"/>
  <c r="E40" i="2" s="1"/>
  <c r="C39" i="2"/>
  <c r="E39" i="2" s="1"/>
  <c r="C38" i="2"/>
  <c r="E38" i="2" s="1"/>
  <c r="C37" i="2"/>
  <c r="E37" i="2" s="1"/>
  <c r="C36" i="2"/>
  <c r="E36" i="2" s="1"/>
  <c r="C35" i="2"/>
  <c r="E35" i="2" s="1"/>
  <c r="C34" i="2"/>
  <c r="E34" i="2" s="1"/>
  <c r="D33" i="2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C16" i="2"/>
  <c r="E16" i="2" s="1"/>
  <c r="D15" i="2"/>
  <c r="E15" i="2" s="1"/>
  <c r="C14" i="2"/>
  <c r="E14" i="2" s="1"/>
  <c r="D13" i="2"/>
  <c r="E13" i="2" s="1"/>
  <c r="C12" i="2"/>
  <c r="E12" i="2" s="1"/>
  <c r="D11" i="2"/>
  <c r="E11" i="2" s="1"/>
  <c r="C10" i="2"/>
  <c r="E10" i="2" s="1"/>
  <c r="D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2" i="2"/>
  <c r="E2" i="2" s="1"/>
</calcChain>
</file>

<file path=xl/sharedStrings.xml><?xml version="1.0" encoding="utf-8"?>
<sst xmlns="http://schemas.openxmlformats.org/spreadsheetml/2006/main" count="156" uniqueCount="96">
  <si>
    <t>Harshwal &amp; Company, LLP</t>
  </si>
  <si>
    <t>Name of Client</t>
  </si>
  <si>
    <t>Early Childhood Education STEP</t>
  </si>
  <si>
    <t>Workpaper</t>
  </si>
  <si>
    <t>TB Import</t>
  </si>
  <si>
    <t>Fiscal Year Ended</t>
  </si>
  <si>
    <t>Source:-</t>
  </si>
  <si>
    <t>Refer tab"TB Formatted"</t>
  </si>
  <si>
    <t>Procedure:-</t>
  </si>
  <si>
    <t>We have formatted Trial balance provided by the client in the uniform format.</t>
  </si>
  <si>
    <t>Account Code</t>
  </si>
  <si>
    <t>Account Description</t>
  </si>
  <si>
    <t>Map no.</t>
  </si>
  <si>
    <t>Map Description</t>
  </si>
  <si>
    <t>SIMPLE BUSINESS CHECKING (4750) - 1</t>
  </si>
  <si>
    <t>Cash and cash equivalents</t>
  </si>
  <si>
    <t>SIMPLE BUSINESS CHECKING (4742) - 1</t>
  </si>
  <si>
    <t>Accounts receivable (A/R)</t>
  </si>
  <si>
    <t>Account receivable</t>
  </si>
  <si>
    <t>Intangible Assets:ECE Step Website:Original cost</t>
  </si>
  <si>
    <t>Fixed assets</t>
  </si>
  <si>
    <t>Intangible Assets:Sub Start Website:Original cost</t>
  </si>
  <si>
    <t>Intangible Assets:Trademark &amp; Logo:Original cost</t>
  </si>
  <si>
    <t>Intangible Assets:Website Content &amp; Graphics:Original cost</t>
  </si>
  <si>
    <t>Security deposits</t>
  </si>
  <si>
    <t>Other assets</t>
  </si>
  <si>
    <t>Accounts Payable (A/P)</t>
  </si>
  <si>
    <t>Accounts payable</t>
  </si>
  <si>
    <t>Unearned Credit</t>
  </si>
  <si>
    <t>Accrued Vacation/PTO</t>
  </si>
  <si>
    <t>Accrued Vacation</t>
  </si>
  <si>
    <t>Payroll tax to pay</t>
  </si>
  <si>
    <t>Accrued Payroll</t>
  </si>
  <si>
    <t>Long-term business loans</t>
  </si>
  <si>
    <t>Long Term loans</t>
  </si>
  <si>
    <t>Retained Earnings</t>
  </si>
  <si>
    <t>Unrestricted</t>
  </si>
  <si>
    <t>ECE STEP Service Revenue:Sub Services</t>
  </si>
  <si>
    <t>Service revenue</t>
  </si>
  <si>
    <t>ECE STEP Service Revenue:CA State - CDSS Contract</t>
  </si>
  <si>
    <t>In kind revenue</t>
  </si>
  <si>
    <t>Other revenue</t>
  </si>
  <si>
    <t>Advertising &amp; marketing:Advertising, Marketing &amp; Recruiting</t>
  </si>
  <si>
    <t>Advertisement</t>
  </si>
  <si>
    <t>Consultant:Contract Consultant</t>
  </si>
  <si>
    <t>Consultants</t>
  </si>
  <si>
    <t>Consultant:IT Consultant</t>
  </si>
  <si>
    <t>Professional services</t>
  </si>
  <si>
    <t>Dues License &amp; subscriptions:Dues &amp; subscriptions</t>
  </si>
  <si>
    <t>Dues and subscriptions</t>
  </si>
  <si>
    <t>Employee benefits:Payroll taxes</t>
  </si>
  <si>
    <t>Employee benefits</t>
  </si>
  <si>
    <t>Employee benefits:Health insurance &amp; MRA</t>
  </si>
  <si>
    <t>Employee benefits:CA Unemployment</t>
  </si>
  <si>
    <t>Employee benefits:Worker Comp Insurance</t>
  </si>
  <si>
    <t>Employee benefits:Other Benefits &amp; Taxes</t>
  </si>
  <si>
    <t>Employee benefits:Accural PTO Expense</t>
  </si>
  <si>
    <t>Employee benefits:Payroll Fee's</t>
  </si>
  <si>
    <t>General business expenses:Bank fees &amp; service charges</t>
  </si>
  <si>
    <t>General administrative</t>
  </si>
  <si>
    <t>General business expenses:Program Supplies</t>
  </si>
  <si>
    <t>Insurance:General Liability insurance</t>
  </si>
  <si>
    <t>Insurance expenses</t>
  </si>
  <si>
    <t>Legal &amp; accounting services:Accounting fees</t>
  </si>
  <si>
    <t>Legal &amp; accounting services:Legal Fees</t>
  </si>
  <si>
    <t>Management Support Service:Management &amp; Adm Consultant  Contract</t>
  </si>
  <si>
    <t>Office expenses:Printing &amp; photocopying</t>
  </si>
  <si>
    <t>Office expenses</t>
  </si>
  <si>
    <t>Office expenses:Equipment/Furniture &amp; fixtures&gt;$1K</t>
  </si>
  <si>
    <t>Office expenses:Office supplies</t>
  </si>
  <si>
    <t>Office expenses:Shipping &amp; postage</t>
  </si>
  <si>
    <t>Payroll expenses:Sub Teachers Salaries &amp; wages</t>
  </si>
  <si>
    <t>Payroll expenses</t>
  </si>
  <si>
    <t>Rent:Facility Rent</t>
  </si>
  <si>
    <t>Rent expenses</t>
  </si>
  <si>
    <t>Staff Training &amp; Meetings:Staff Training &amp; Meetings</t>
  </si>
  <si>
    <t>Travel and trainings</t>
  </si>
  <si>
    <t>Travel:Local Travel &amp; Transportation</t>
  </si>
  <si>
    <t>Travel:Out of Town Travel</t>
  </si>
  <si>
    <t>Utilities:Telephone</t>
  </si>
  <si>
    <t>Telephone expenses</t>
  </si>
  <si>
    <t>Account Discription</t>
  </si>
  <si>
    <t>Debit</t>
  </si>
  <si>
    <t>Credit</t>
  </si>
  <si>
    <t>Amount</t>
  </si>
  <si>
    <t>Payments to deposit</t>
  </si>
  <si>
    <t>US Treasury</t>
  </si>
  <si>
    <t>Prepaid expenses</t>
  </si>
  <si>
    <t>Intangible Assets:ECE Step Website:Amortization</t>
  </si>
  <si>
    <t>Intangible Assets:Sub Start Website:Amortization</t>
  </si>
  <si>
    <t>Intangible Assets:Trademark &amp; Logo:Amortization</t>
  </si>
  <si>
    <t>Intangible Assets:Website Content &amp; Graphics:Amortization</t>
  </si>
  <si>
    <t>ECE STEP Service Revenue:Sub Start</t>
  </si>
  <si>
    <t>Interest/Other Income:Other Mis Income</t>
  </si>
  <si>
    <t>Advertising &amp; marketing:Recruiting / Marketing</t>
  </si>
  <si>
    <t>Depreciation:Depreciation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</si>
</sst>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m\ d\,\ yyyy;@"/>
  </numFmts>
  <fonts count="2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7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0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8" borderId="8" applyNumberFormat="0" applyFont="0" applyAlignment="0" applyProtection="0"/>
  </cellStyleXfs>
  <cellXfs count="45">
    <xf numFmtId="0" fontId="0" fillId="0" borderId="0" xfId="0"/>
    <xf numFmtId="0" fontId="3" fillId="0" borderId="0" xfId="1"/>
    <xf numFmtId="0" fontId="21" fillId="33" borderId="10" xfId="1" applyFont="1" applyFill="1" applyBorder="1" applyAlignment="1">
      <alignment horizontal="center"/>
    </xf>
    <xf numFmtId="0" fontId="21" fillId="33" borderId="10" xfId="1" applyFont="1" applyFill="1" applyBorder="1" applyAlignment="1">
      <alignment horizontal="center" wrapText="1"/>
    </xf>
    <xf numFmtId="0" fontId="2" fillId="0" borderId="0" xfId="0" applyFont="1"/>
    <xf numFmtId="0" fontId="21" fillId="0" borderId="0" xfId="1" applyFont="1"/>
    <xf numFmtId="164" fontId="21" fillId="0" borderId="0" xfId="1" applyNumberFormat="1" applyFont="1" applyAlignment="1">
      <alignment horizontal="left"/>
    </xf>
    <xf numFmtId="0" fontId="22" fillId="0" borderId="0" xfId="45" applyNumberFormat="1" applyFont="1" applyBorder="1" applyAlignment="1">
      <alignment horizontal="left" vertical="top"/>
    </xf>
    <xf numFmtId="0" fontId="3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left"/>
    </xf>
    <xf numFmtId="0" fontId="3" fillId="0" borderId="11" xfId="0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43" fontId="2" fillId="0" borderId="0" xfId="2" applyFont="1"/>
    <xf numFmtId="43" fontId="3" fillId="0" borderId="0" xfId="2" applyFont="1"/>
    <xf numFmtId="43" fontId="21" fillId="33" borderId="10" xfId="2" applyFont="1" applyFill="1" applyBorder="1"/>
    <xf numFmtId="43" fontId="3" fillId="0" borderId="13" xfId="2" applyFont="1" applyBorder="1"/>
    <xf numFmtId="43" fontId="3" fillId="0" borderId="11" xfId="2" applyFont="1" applyBorder="1" applyAlignment="1">
      <alignment horizontal="right" wrapText="1"/>
    </xf>
    <xf numFmtId="43" fontId="3" fillId="0" borderId="11" xfId="2" applyFont="1" applyBorder="1" applyAlignment="1">
      <alignment wrapText="1"/>
    </xf>
    <xf numFmtId="43" fontId="3" fillId="0" borderId="11" xfId="2" applyFont="1" applyBorder="1"/>
    <xf numFmtId="43" fontId="3" fillId="0" borderId="12" xfId="2" applyFont="1" applyBorder="1" applyAlignment="1">
      <alignment horizontal="right" wrapText="1"/>
    </xf>
    <xf numFmtId="43" fontId="3" fillId="0" borderId="12" xfId="2" applyFont="1" applyBorder="1" applyAlignment="1">
      <alignment wrapText="1"/>
    </xf>
    <xf numFmtId="43" fontId="3" fillId="0" borderId="12" xfId="2" applyFont="1" applyBorder="1"/>
    <xf numFmtId="1" fontId="3" fillId="0" borderId="0" xfId="2" applyNumberFormat="1" applyFont="1" applyAlignment="1">
      <alignment horizontal="center"/>
    </xf>
    <xf numFmtId="1" fontId="21" fillId="33" borderId="10" xfId="2" applyNumberFormat="1" applyFont="1" applyFill="1" applyBorder="1" applyAlignment="1">
      <alignment horizontal="center"/>
    </xf>
    <xf numFmtId="1" fontId="3" fillId="0" borderId="13" xfId="2" applyNumberFormat="1" applyFont="1" applyBorder="1" applyAlignment="1">
      <alignment horizontal="center"/>
    </xf>
    <xf numFmtId="1" fontId="3" fillId="0" borderId="11" xfId="2" applyNumberFormat="1" applyFont="1" applyBorder="1" applyAlignment="1">
      <alignment horizontal="center"/>
    </xf>
    <xf numFmtId="1" fontId="3" fillId="0" borderId="12" xfId="2" applyNumberFormat="1" applyFont="1" applyBorder="1" applyAlignment="1">
      <alignment horizontal="center"/>
    </xf>
    <xf numFmtId="43" fontId="23" fillId="0" borderId="11" xfId="2" applyFont="1" applyBorder="1"/>
    <xf numFmtId="43" fontId="23" fillId="0" borderId="12" xfId="2" applyFont="1" applyBorder="1"/>
    <xf numFmtId="0" fontId="19" fillId="34" borderId="10" xfId="0" applyFont="1" applyFill="1" applyBorder="1" applyAlignment="1">
      <alignment wrapText="1"/>
    </xf>
    <xf numFmtId="43" fontId="21" fillId="34" borderId="10" xfId="2" applyFont="1" applyFill="1" applyBorder="1" applyAlignment="1">
      <alignment horizontal="center" wrapText="1"/>
    </xf>
    <xf numFmtId="43" fontId="19" fillId="34" borderId="10" xfId="2" applyFont="1" applyFill="1" applyBorder="1" applyAlignment="1">
      <alignment wrapText="1"/>
    </xf>
    <xf numFmtId="0" fontId="17" fillId="0" borderId="0" xfId="1" applyFont="1"/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left" wrapText="1"/>
    </xf>
    <xf numFmtId="43" fontId="1" fillId="0" borderId="11" xfId="2" applyFont="1" applyBorder="1" applyAlignment="1">
      <alignment horizontal="right" wrapText="1"/>
    </xf>
    <xf numFmtId="43" fontId="1" fillId="0" borderId="11" xfId="2" applyFont="1" applyBorder="1" applyAlignment="1">
      <alignment wrapText="1"/>
    </xf>
    <xf numFmtId="0" fontId="22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12" xfId="0" applyFont="1" applyBorder="1" applyAlignment="1">
      <alignment wrapText="1"/>
    </xf>
    <xf numFmtId="43" fontId="1" fillId="0" borderId="12" xfId="2" applyFont="1" applyBorder="1" applyAlignment="1">
      <alignment wrapText="1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2" builtinId="3"/>
    <cellStyle name="Comma 2" xfId="45" xr:uid="{00000000-0005-0000-0000-00001C000000}"/>
    <cellStyle name="Comma 3" xfId="43" xr:uid="{00000000-0005-0000-0000-00001D000000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00000000-0005-0000-0000-000028000000}"/>
    <cellStyle name="Normal 3" xfId="1" xr:uid="{00000000-0005-0000-0000-000029000000}"/>
    <cellStyle name="Note 2" xfId="46" xr:uid="{00000000-0005-0000-0000-00002A000000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llan/Desktop/August%2029%202019/SJB/SJB/SJB%202018/Completion%20SJB%202018/SJB%20financial%20draft%2017-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user\My%20Documents\CCCI07\07auditworkpapers\Rev%20&amp;%20Exp%200607%20June%20audit%20draft%2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user\My%20Documents\CCCI05\AuditWorkpapers\Rev%20and%20Exp%20Report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dmatchett.FRC2\Application%20Data\Microsoft\Excel\Audit%202002\Reserve\Payroll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3not used(X)"/>
      <sheetName val="pg4x"/>
      <sheetName val="pg5"/>
      <sheetName val="pg6"/>
      <sheetName val="pg7"/>
      <sheetName val="pg15"/>
      <sheetName val="pg16"/>
      <sheetName val="pg17"/>
      <sheetName val="pg22"/>
      <sheetName val="pg23"/>
      <sheetName val="pg24"/>
      <sheetName val="pg25"/>
      <sheetName val="pg26a"/>
      <sheetName val="pg27a"/>
      <sheetName val="p28"/>
      <sheetName val="p29 to do"/>
      <sheetName val="pg35"/>
      <sheetName val="Center-Based 09"/>
      <sheetName val="Center-Based08"/>
      <sheetName val="temprest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FP"/>
      <sheetName val="Contract Earnings"/>
      <sheetName val="E&amp;A G1 G3"/>
      <sheetName val="E&amp;A G2"/>
      <sheetName val="E&amp;A SAC"/>
      <sheetName val="E&amp;A Pre K"/>
      <sheetName val="E&amp;A COE5Es"/>
      <sheetName val="T.B.-G1"/>
      <sheetName val="T.B.-G2"/>
      <sheetName val="T.B.-G3"/>
      <sheetName val="T.B.-SA"/>
      <sheetName val="T.B.-PreK"/>
      <sheetName val="T.B.-COE5Es"/>
      <sheetName val="T.B.-PS"/>
      <sheetName val="T.B.-BSaccts"/>
      <sheetName val="CCFP hubs"/>
      <sheetName val="CCFP hub CKS"/>
      <sheetName val="CCFP hub CNW"/>
      <sheetName val="CCFP hub EDN"/>
      <sheetName val="CCFP hub SB"/>
      <sheetName val="CCFP hub PTR "/>
      <sheetName val="FndraisingAccts"/>
      <sheetName val="Pg3-COE1"/>
      <sheetName val="Pg3-G2"/>
      <sheetName val="Pg3-COEgroup2"/>
      <sheetName val="Earn-G1"/>
      <sheetName val="Earn-S1"/>
      <sheetName val="Earn-SPS1"/>
      <sheetName val="Earn-G2"/>
      <sheetName val="Earn-SPS2"/>
      <sheetName val="Earn-G3"/>
      <sheetName val="REV &amp; EXP (ALL)"/>
      <sheetName val="REV &amp; EXP (BdRpt_Sum)"/>
      <sheetName val="Balance Sheet "/>
      <sheetName val="Line Item Detail"/>
      <sheetName val="pg10"/>
      <sheetName val="pg10 (2)"/>
      <sheetName val=" EXPSum"/>
      <sheetName val="Fees"/>
      <sheetName val="Admin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FP"/>
      <sheetName val="E&amp;A G1 FBG"/>
      <sheetName val="NCGFBG"/>
      <sheetName val="E&amp;A SAC"/>
      <sheetName val="E&amp;A SPS"/>
      <sheetName val="E&amp;A G2"/>
      <sheetName val="E&amp;A G3"/>
      <sheetName val="T.B.-G1FBG"/>
      <sheetName val="T.B.-SAC"/>
      <sheetName val="T.B.-SPS"/>
      <sheetName val="T.B.-PIA newGEN"/>
      <sheetName val="T.B.-PS"/>
      <sheetName val="T.B.-SJCOEFirst5"/>
      <sheetName val="T.B.-BSaccts"/>
      <sheetName val="T.B.-G2"/>
      <sheetName val="FndraisingAccts"/>
      <sheetName val="AdminCost"/>
      <sheetName val="Pg3-COE1"/>
      <sheetName val="Pg3-G2"/>
      <sheetName val="Pg3-COEgroup2"/>
      <sheetName val="Earn-G1"/>
      <sheetName val="Earn-F"/>
      <sheetName val="Earn-S1"/>
      <sheetName val="Earn-SPS1"/>
      <sheetName val="Earn-G2"/>
      <sheetName val="Earn-SPS2"/>
      <sheetName val="Earn-G3"/>
      <sheetName val="REV &amp; EXP (ALL)"/>
      <sheetName val="REV &amp; EXP (BdRpt_Sum)"/>
      <sheetName val="Balance Sheet "/>
      <sheetName val="Line Item Detail"/>
      <sheetName val=" EXPSum"/>
      <sheetName val="Fees"/>
      <sheetName val="Twogether"/>
      <sheetName val="Forever"/>
      <sheetName val="Ban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2 Anomalies"/>
      <sheetName val="Payroll 2002"/>
      <sheetName val="Share Indirects"/>
      <sheetName val="Share Bldg."/>
      <sheetName val="Share Admin"/>
      <sheetName val="Grant grid"/>
      <sheetName val="Van Indirects"/>
      <sheetName val="May Adj."/>
      <sheetName val="Tu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topLeftCell="A18" workbookViewId="0">
      <selection activeCell="D20" sqref="D20"/>
    </sheetView>
  </sheetViews>
  <sheetFormatPr defaultColWidth="8.875" defaultRowHeight="15"/>
  <cols>
    <col min="1" max="1" width="8.875" style="1"/>
    <col min="2" max="2" width="13.875" style="4" customWidth="1"/>
    <col min="3" max="3" width="47.5" style="4" customWidth="1"/>
    <col min="4" max="4" width="12.125" style="15" bestFit="1" customWidth="1"/>
    <col min="5" max="5" width="12.125" style="15" customWidth="1"/>
    <col min="6" max="6" width="9.125" style="24" bestFit="1" customWidth="1"/>
    <col min="7" max="7" width="22.625" style="1" bestFit="1" customWidth="1"/>
    <col min="8" max="16384" width="8.875" style="1"/>
  </cols>
  <sheetData>
    <row r="1" spans="2:11">
      <c r="B1" s="39" t="s">
        <v>0</v>
      </c>
      <c r="C1" s="39"/>
      <c r="D1" s="39"/>
      <c r="E1" s="39"/>
      <c r="F1" s="39"/>
      <c r="G1" s="39"/>
      <c r="H1" s="39"/>
    </row>
    <row r="2" spans="2:11">
      <c r="B2" s="5" t="s">
        <v>1</v>
      </c>
      <c r="C2" s="5" t="s">
        <v>2</v>
      </c>
    </row>
    <row r="3" spans="2:11">
      <c r="B3" s="5" t="s">
        <v>3</v>
      </c>
      <c r="C3" s="5" t="s">
        <v>4</v>
      </c>
    </row>
    <row r="4" spans="2:11">
      <c r="B4" s="5" t="s">
        <v>5</v>
      </c>
      <c r="C4" s="6">
        <v>45107</v>
      </c>
    </row>
    <row r="6" spans="2:11">
      <c r="B6" s="7" t="s">
        <v>6</v>
      </c>
      <c r="C6" s="7" t="s">
        <v>7</v>
      </c>
    </row>
    <row r="7" spans="2:11">
      <c r="B7" s="7" t="s">
        <v>8</v>
      </c>
      <c r="C7" s="7" t="s">
        <v>9</v>
      </c>
      <c r="I7" s="40"/>
      <c r="J7" s="41"/>
      <c r="K7" s="41"/>
    </row>
    <row r="8" spans="2:11" ht="15.75" thickBot="1">
      <c r="B8" s="42"/>
      <c r="C8" s="42"/>
      <c r="I8" s="40"/>
      <c r="J8" s="41"/>
      <c r="K8" s="41"/>
    </row>
    <row r="9" spans="2:11" ht="15.75" thickBot="1">
      <c r="B9" s="2" t="s">
        <v>10</v>
      </c>
      <c r="C9" s="3" t="s">
        <v>11</v>
      </c>
      <c r="D9" s="25">
        <v>2023</v>
      </c>
      <c r="E9" s="25">
        <v>2022</v>
      </c>
      <c r="F9" s="25" t="s">
        <v>12</v>
      </c>
      <c r="G9" s="16" t="s">
        <v>13</v>
      </c>
    </row>
    <row r="10" spans="2:11">
      <c r="B10" s="8">
        <v>1000</v>
      </c>
      <c r="C10" s="9" t="s">
        <v>14</v>
      </c>
      <c r="D10" s="17">
        <v>154130.51</v>
      </c>
      <c r="E10" s="17">
        <v>131241.09</v>
      </c>
      <c r="F10" s="26">
        <v>10100</v>
      </c>
      <c r="G10" s="17" t="s">
        <v>15</v>
      </c>
    </row>
    <row r="11" spans="2:11">
      <c r="B11" s="10">
        <v>1001</v>
      </c>
      <c r="C11" s="11" t="s">
        <v>16</v>
      </c>
      <c r="D11" s="20">
        <v>35000</v>
      </c>
      <c r="E11" s="20">
        <v>35000</v>
      </c>
      <c r="F11" s="27">
        <v>10100</v>
      </c>
      <c r="G11" s="20" t="s">
        <v>15</v>
      </c>
    </row>
    <row r="12" spans="2:11">
      <c r="B12" s="10">
        <v>1100</v>
      </c>
      <c r="C12" s="11" t="s">
        <v>17</v>
      </c>
      <c r="D12" s="20">
        <v>422196.97</v>
      </c>
      <c r="E12" s="20">
        <v>245519.89</v>
      </c>
      <c r="F12" s="27">
        <v>10200</v>
      </c>
      <c r="G12" s="20" t="s">
        <v>18</v>
      </c>
    </row>
    <row r="13" spans="2:11">
      <c r="B13" s="10">
        <v>1300.1099999999999</v>
      </c>
      <c r="C13" s="11" t="s">
        <v>19</v>
      </c>
      <c r="D13" s="20">
        <v>72500</v>
      </c>
      <c r="E13" s="20">
        <v>72500</v>
      </c>
      <c r="F13" s="27">
        <v>10600</v>
      </c>
      <c r="G13" s="20" t="s">
        <v>20</v>
      </c>
    </row>
    <row r="14" spans="2:11">
      <c r="B14" s="10">
        <v>1300.21</v>
      </c>
      <c r="C14" s="11" t="s">
        <v>21</v>
      </c>
      <c r="D14" s="20">
        <v>148019</v>
      </c>
      <c r="E14" s="20">
        <v>148019</v>
      </c>
      <c r="F14" s="27">
        <v>10600</v>
      </c>
      <c r="G14" s="20" t="s">
        <v>20</v>
      </c>
    </row>
    <row r="15" spans="2:11">
      <c r="B15" s="10">
        <v>1300.31</v>
      </c>
      <c r="C15" s="11" t="s">
        <v>22</v>
      </c>
      <c r="D15" s="20">
        <v>2640</v>
      </c>
      <c r="E15" s="20">
        <v>2640</v>
      </c>
      <c r="F15" s="27">
        <v>10600</v>
      </c>
      <c r="G15" s="20" t="s">
        <v>20</v>
      </c>
    </row>
    <row r="16" spans="2:11">
      <c r="B16" s="10">
        <v>1300.4100000000001</v>
      </c>
      <c r="C16" s="11" t="s">
        <v>23</v>
      </c>
      <c r="D16" s="20">
        <v>27497</v>
      </c>
      <c r="E16" s="20">
        <v>27497</v>
      </c>
      <c r="F16" s="27">
        <v>10600</v>
      </c>
      <c r="G16" s="20" t="s">
        <v>20</v>
      </c>
    </row>
    <row r="17" spans="2:7">
      <c r="B17" s="10">
        <v>1060</v>
      </c>
      <c r="C17" s="11" t="s">
        <v>24</v>
      </c>
      <c r="D17" s="20">
        <v>3103.65</v>
      </c>
      <c r="E17" s="20"/>
      <c r="F17" s="27">
        <v>10400</v>
      </c>
      <c r="G17" s="20" t="s">
        <v>25</v>
      </c>
    </row>
    <row r="18" spans="2:7">
      <c r="B18" s="10">
        <v>2000</v>
      </c>
      <c r="C18" s="11" t="s">
        <v>26</v>
      </c>
      <c r="D18" s="20">
        <v>-35488.94</v>
      </c>
      <c r="E18" s="20">
        <v>-152353.64000000001</v>
      </c>
      <c r="F18" s="27">
        <v>20100</v>
      </c>
      <c r="G18" s="20" t="s">
        <v>27</v>
      </c>
    </row>
    <row r="19" spans="2:7">
      <c r="B19" s="10">
        <v>2030</v>
      </c>
      <c r="C19" s="11" t="s">
        <v>28</v>
      </c>
      <c r="D19" s="20">
        <v>0.01</v>
      </c>
      <c r="E19" s="20"/>
      <c r="F19" s="27">
        <v>20100</v>
      </c>
      <c r="G19" s="20" t="s">
        <v>27</v>
      </c>
    </row>
    <row r="20" spans="2:7">
      <c r="B20" s="10">
        <v>2170</v>
      </c>
      <c r="C20" s="11" t="s">
        <v>29</v>
      </c>
      <c r="D20" s="20">
        <v>-35724.89</v>
      </c>
      <c r="E20" s="20">
        <v>-34771.85</v>
      </c>
      <c r="F20" s="27">
        <v>20220</v>
      </c>
      <c r="G20" s="20" t="s">
        <v>30</v>
      </c>
    </row>
    <row r="21" spans="2:7">
      <c r="B21" s="10">
        <v>2171</v>
      </c>
      <c r="C21" s="11" t="s">
        <v>31</v>
      </c>
      <c r="D21" s="20">
        <v>-238.16</v>
      </c>
      <c r="E21" s="20">
        <v>-842.36</v>
      </c>
      <c r="F21" s="27">
        <v>20240</v>
      </c>
      <c r="G21" s="20" t="s">
        <v>32</v>
      </c>
    </row>
    <row r="22" spans="2:7">
      <c r="B22" s="10">
        <v>2020</v>
      </c>
      <c r="C22" s="11" t="s">
        <v>33</v>
      </c>
      <c r="D22" s="20">
        <v>-200000</v>
      </c>
      <c r="E22" s="20">
        <v>-200000</v>
      </c>
      <c r="F22" s="27">
        <v>21200</v>
      </c>
      <c r="G22" s="20" t="s">
        <v>34</v>
      </c>
    </row>
    <row r="23" spans="2:7">
      <c r="B23" s="10">
        <v>3010</v>
      </c>
      <c r="C23" s="11" t="s">
        <v>35</v>
      </c>
      <c r="D23" s="20">
        <v>-274449.13</v>
      </c>
      <c r="E23" s="20">
        <v>0</v>
      </c>
      <c r="F23" s="27">
        <v>30100</v>
      </c>
      <c r="G23" s="20" t="s">
        <v>36</v>
      </c>
    </row>
    <row r="24" spans="2:7">
      <c r="B24" s="10">
        <v>4100</v>
      </c>
      <c r="C24" s="11" t="s">
        <v>37</v>
      </c>
      <c r="D24" s="20">
        <v>-2584443.94</v>
      </c>
      <c r="E24" s="29">
        <v>-884298.1</v>
      </c>
      <c r="F24" s="27">
        <v>41100</v>
      </c>
      <c r="G24" s="20" t="s">
        <v>38</v>
      </c>
    </row>
    <row r="25" spans="2:7">
      <c r="B25" s="10">
        <v>4115</v>
      </c>
      <c r="C25" s="11" t="s">
        <v>39</v>
      </c>
      <c r="D25" s="20">
        <v>-234.48</v>
      </c>
      <c r="E25" s="29"/>
      <c r="F25" s="27">
        <v>41200</v>
      </c>
      <c r="G25" s="20" t="s">
        <v>38</v>
      </c>
    </row>
    <row r="26" spans="2:7">
      <c r="B26" s="10">
        <v>4140</v>
      </c>
      <c r="C26" s="11" t="s">
        <v>40</v>
      </c>
      <c r="D26" s="20">
        <v>0</v>
      </c>
      <c r="E26" s="29">
        <v>-250686</v>
      </c>
      <c r="F26" s="27">
        <v>41300</v>
      </c>
      <c r="G26" s="20" t="s">
        <v>41</v>
      </c>
    </row>
    <row r="27" spans="2:7">
      <c r="B27" s="10">
        <v>6010</v>
      </c>
      <c r="C27" s="11" t="s">
        <v>42</v>
      </c>
      <c r="D27" s="20">
        <v>250</v>
      </c>
      <c r="E27" s="29"/>
      <c r="F27" s="27">
        <v>51200</v>
      </c>
      <c r="G27" s="20" t="s">
        <v>43</v>
      </c>
    </row>
    <row r="28" spans="2:7">
      <c r="B28" s="10">
        <v>6180</v>
      </c>
      <c r="C28" s="11" t="s">
        <v>44</v>
      </c>
      <c r="D28" s="20">
        <v>61257.4</v>
      </c>
      <c r="E28" s="29">
        <v>24200</v>
      </c>
      <c r="F28" s="27">
        <v>51300</v>
      </c>
      <c r="G28" s="20" t="s">
        <v>45</v>
      </c>
    </row>
    <row r="29" spans="2:7">
      <c r="B29" s="10">
        <v>6186</v>
      </c>
      <c r="C29" s="11" t="s">
        <v>46</v>
      </c>
      <c r="D29" s="20">
        <v>2812.6</v>
      </c>
      <c r="E29" s="29"/>
      <c r="F29" s="27">
        <v>51700</v>
      </c>
      <c r="G29" s="20" t="s">
        <v>47</v>
      </c>
    </row>
    <row r="30" spans="2:7">
      <c r="B30" s="10">
        <v>6135</v>
      </c>
      <c r="C30" s="11" t="s">
        <v>48</v>
      </c>
      <c r="D30" s="20">
        <v>16585.36</v>
      </c>
      <c r="E30" s="29">
        <v>2334.41</v>
      </c>
      <c r="F30" s="27">
        <v>51900</v>
      </c>
      <c r="G30" s="20" t="s">
        <v>49</v>
      </c>
    </row>
    <row r="31" spans="2:7">
      <c r="B31" s="10">
        <v>5511</v>
      </c>
      <c r="C31" s="11" t="s">
        <v>50</v>
      </c>
      <c r="D31" s="20">
        <v>111340.82</v>
      </c>
      <c r="E31" s="29">
        <v>217538.71</v>
      </c>
      <c r="F31" s="27">
        <v>51150</v>
      </c>
      <c r="G31" s="20" t="s">
        <v>51</v>
      </c>
    </row>
    <row r="32" spans="2:7">
      <c r="B32" s="10">
        <v>5512</v>
      </c>
      <c r="C32" s="11" t="s">
        <v>52</v>
      </c>
      <c r="D32" s="20">
        <v>264742.74</v>
      </c>
      <c r="E32" s="29"/>
      <c r="F32" s="27">
        <v>51150</v>
      </c>
      <c r="G32" s="20" t="s">
        <v>51</v>
      </c>
    </row>
    <row r="33" spans="2:7">
      <c r="B33" s="10">
        <v>5515</v>
      </c>
      <c r="C33" s="11" t="s">
        <v>53</v>
      </c>
      <c r="D33" s="20">
        <v>33198.61</v>
      </c>
      <c r="E33" s="29"/>
      <c r="F33" s="27">
        <v>51150</v>
      </c>
      <c r="G33" s="20" t="s">
        <v>51</v>
      </c>
    </row>
    <row r="34" spans="2:7">
      <c r="B34" s="10">
        <v>5516</v>
      </c>
      <c r="C34" s="11" t="s">
        <v>54</v>
      </c>
      <c r="D34" s="20">
        <v>56068.3</v>
      </c>
      <c r="E34" s="29"/>
      <c r="F34" s="27">
        <v>51150</v>
      </c>
      <c r="G34" s="20" t="s">
        <v>51</v>
      </c>
    </row>
    <row r="35" spans="2:7">
      <c r="B35" s="10">
        <v>5517</v>
      </c>
      <c r="C35" s="11" t="s">
        <v>55</v>
      </c>
      <c r="D35" s="20">
        <v>989.65</v>
      </c>
      <c r="E35" s="29"/>
      <c r="F35" s="27">
        <v>51150</v>
      </c>
      <c r="G35" s="20" t="s">
        <v>51</v>
      </c>
    </row>
    <row r="36" spans="2:7">
      <c r="B36" s="10">
        <v>5518</v>
      </c>
      <c r="C36" s="11" t="s">
        <v>56</v>
      </c>
      <c r="D36" s="20">
        <v>953.04</v>
      </c>
      <c r="E36" s="29"/>
      <c r="F36" s="27">
        <v>51150</v>
      </c>
      <c r="G36" s="20" t="s">
        <v>51</v>
      </c>
    </row>
    <row r="37" spans="2:7">
      <c r="B37" s="10">
        <v>6021</v>
      </c>
      <c r="C37" s="11" t="s">
        <v>57</v>
      </c>
      <c r="D37" s="20">
        <v>40357.72</v>
      </c>
      <c r="E37" s="29"/>
      <c r="F37" s="27">
        <v>51150</v>
      </c>
      <c r="G37" s="20" t="s">
        <v>51</v>
      </c>
    </row>
    <row r="38" spans="2:7">
      <c r="B38" s="10">
        <v>6022</v>
      </c>
      <c r="C38" s="11" t="s">
        <v>58</v>
      </c>
      <c r="D38" s="20">
        <v>644.88</v>
      </c>
      <c r="E38" s="29"/>
      <c r="F38" s="27">
        <v>52100</v>
      </c>
      <c r="G38" s="20" t="s">
        <v>59</v>
      </c>
    </row>
    <row r="39" spans="2:7">
      <c r="B39" s="10">
        <v>6221</v>
      </c>
      <c r="C39" s="11" t="s">
        <v>60</v>
      </c>
      <c r="D39" s="20">
        <v>35578.97</v>
      </c>
      <c r="E39" s="29">
        <v>2631.5</v>
      </c>
      <c r="F39" s="27">
        <v>52100</v>
      </c>
      <c r="G39" s="20" t="s">
        <v>59</v>
      </c>
    </row>
    <row r="40" spans="2:7">
      <c r="B40" s="10">
        <v>6091</v>
      </c>
      <c r="C40" s="11" t="s">
        <v>61</v>
      </c>
      <c r="D40" s="20">
        <v>32896.089999999997</v>
      </c>
      <c r="E40" s="29">
        <v>20426.849999999999</v>
      </c>
      <c r="F40" s="27">
        <v>51800</v>
      </c>
      <c r="G40" s="20" t="s">
        <v>62</v>
      </c>
    </row>
    <row r="41" spans="2:7">
      <c r="B41" s="10">
        <v>6181</v>
      </c>
      <c r="C41" s="11" t="s">
        <v>63</v>
      </c>
      <c r="D41" s="20">
        <v>1560</v>
      </c>
      <c r="E41" s="29">
        <v>3000</v>
      </c>
      <c r="F41" s="27">
        <v>51700</v>
      </c>
      <c r="G41" s="20" t="s">
        <v>47</v>
      </c>
    </row>
    <row r="42" spans="2:7">
      <c r="B42" s="10">
        <v>6183</v>
      </c>
      <c r="C42" s="11" t="s">
        <v>64</v>
      </c>
      <c r="D42" s="20">
        <v>1750</v>
      </c>
      <c r="E42" s="29"/>
      <c r="F42" s="27">
        <v>51700</v>
      </c>
      <c r="G42" s="20" t="s">
        <v>47</v>
      </c>
    </row>
    <row r="43" spans="2:7">
      <c r="B43" s="10">
        <v>6187</v>
      </c>
      <c r="C43" s="11" t="s">
        <v>65</v>
      </c>
      <c r="D43" s="20">
        <v>118656</v>
      </c>
      <c r="E43" s="29">
        <v>78721.149999999994</v>
      </c>
      <c r="F43" s="27">
        <v>51300</v>
      </c>
      <c r="G43" s="20" t="s">
        <v>45</v>
      </c>
    </row>
    <row r="44" spans="2:7">
      <c r="B44" s="10">
        <v>6170</v>
      </c>
      <c r="C44" s="11" t="s">
        <v>66</v>
      </c>
      <c r="D44" s="20">
        <v>765.81</v>
      </c>
      <c r="E44" s="29"/>
      <c r="F44" s="27">
        <v>51400</v>
      </c>
      <c r="G44" s="20" t="s">
        <v>67</v>
      </c>
    </row>
    <row r="45" spans="2:7">
      <c r="B45" s="10">
        <v>6207</v>
      </c>
      <c r="C45" s="11" t="s">
        <v>68</v>
      </c>
      <c r="D45" s="20">
        <v>5950.88</v>
      </c>
      <c r="E45" s="29"/>
      <c r="F45" s="27">
        <v>51400</v>
      </c>
      <c r="G45" s="20" t="s">
        <v>67</v>
      </c>
    </row>
    <row r="46" spans="2:7">
      <c r="B46" s="10">
        <v>6224</v>
      </c>
      <c r="C46" s="11" t="s">
        <v>69</v>
      </c>
      <c r="D46" s="20">
        <v>1779.68</v>
      </c>
      <c r="E46" s="29">
        <v>1760.25</v>
      </c>
      <c r="F46" s="27">
        <v>51400</v>
      </c>
      <c r="G46" s="20" t="s">
        <v>67</v>
      </c>
    </row>
    <row r="47" spans="2:7">
      <c r="B47" s="10">
        <v>6228</v>
      </c>
      <c r="C47" s="11" t="s">
        <v>70</v>
      </c>
      <c r="D47" s="20">
        <v>90.07</v>
      </c>
      <c r="E47" s="29"/>
      <c r="F47" s="27">
        <v>51400</v>
      </c>
      <c r="G47" s="20" t="s">
        <v>67</v>
      </c>
    </row>
    <row r="48" spans="2:7">
      <c r="B48" s="10">
        <v>5223</v>
      </c>
      <c r="C48" s="11" t="s">
        <v>71</v>
      </c>
      <c r="D48" s="20">
        <v>1455895.46</v>
      </c>
      <c r="E48" s="29">
        <v>507278.25</v>
      </c>
      <c r="F48" s="27">
        <v>51100</v>
      </c>
      <c r="G48" s="20" t="s">
        <v>72</v>
      </c>
    </row>
    <row r="49" spans="2:7">
      <c r="B49" s="10">
        <v>6200</v>
      </c>
      <c r="C49" s="11" t="s">
        <v>73</v>
      </c>
      <c r="D49" s="20">
        <v>12617.05</v>
      </c>
      <c r="E49" s="29">
        <v>440</v>
      </c>
      <c r="F49" s="27">
        <v>51600</v>
      </c>
      <c r="G49" s="20" t="s">
        <v>74</v>
      </c>
    </row>
    <row r="50" spans="2:7">
      <c r="B50" s="10">
        <v>6160</v>
      </c>
      <c r="C50" s="11" t="s">
        <v>75</v>
      </c>
      <c r="D50" s="20">
        <v>6003.6</v>
      </c>
      <c r="E50" s="29">
        <v>1849.21</v>
      </c>
      <c r="F50" s="27">
        <v>51500</v>
      </c>
      <c r="G50" s="20" t="s">
        <v>76</v>
      </c>
    </row>
    <row r="51" spans="2:7">
      <c r="B51" s="10">
        <v>6242</v>
      </c>
      <c r="C51" s="11" t="s">
        <v>77</v>
      </c>
      <c r="D51" s="20">
        <v>117.09</v>
      </c>
      <c r="E51" s="29">
        <v>50.32</v>
      </c>
      <c r="F51" s="27">
        <v>51500</v>
      </c>
      <c r="G51" s="20" t="s">
        <v>76</v>
      </c>
    </row>
    <row r="52" spans="2:7">
      <c r="B52" s="10">
        <v>6248</v>
      </c>
      <c r="C52" s="11" t="s">
        <v>78</v>
      </c>
      <c r="D52" s="20">
        <v>1941.83</v>
      </c>
      <c r="E52" s="29"/>
      <c r="F52" s="27">
        <v>51500</v>
      </c>
      <c r="G52" s="20" t="s">
        <v>76</v>
      </c>
    </row>
    <row r="53" spans="2:7" ht="15.75" thickBot="1">
      <c r="B53" s="12">
        <v>6238</v>
      </c>
      <c r="C53" s="13" t="s">
        <v>79</v>
      </c>
      <c r="D53" s="23">
        <v>688.75</v>
      </c>
      <c r="E53" s="30">
        <v>304.32</v>
      </c>
      <c r="F53" s="28">
        <v>52000</v>
      </c>
      <c r="G53" s="23" t="s">
        <v>80</v>
      </c>
    </row>
  </sheetData>
  <mergeCells count="3">
    <mergeCell ref="B1:H1"/>
    <mergeCell ref="I7:K7"/>
    <mergeCell ref="I8:K8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workbookViewId="0">
      <selection activeCell="B1" sqref="B1"/>
    </sheetView>
  </sheetViews>
  <sheetFormatPr defaultColWidth="8.875" defaultRowHeight="15"/>
  <cols>
    <col min="1" max="1" width="13.875" style="4" customWidth="1"/>
    <col min="2" max="2" width="47.5" style="4" customWidth="1"/>
    <col min="3" max="4" width="11" style="14" bestFit="1" customWidth="1"/>
    <col min="5" max="5" width="12.125" style="15" bestFit="1" customWidth="1"/>
    <col min="6" max="16384" width="8.875" style="1"/>
  </cols>
  <sheetData>
    <row r="1" spans="1:5" ht="15.75" thickBot="1">
      <c r="A1" s="31" t="s">
        <v>10</v>
      </c>
      <c r="B1" s="31" t="s">
        <v>81</v>
      </c>
      <c r="C1" s="32" t="s">
        <v>82</v>
      </c>
      <c r="D1" s="32" t="s">
        <v>83</v>
      </c>
      <c r="E1" s="33" t="s">
        <v>84</v>
      </c>
    </row>
    <row r="2" spans="1:5">
      <c r="A2" s="35">
        <v>1000</v>
      </c>
      <c r="B2" s="36" t="s">
        <v>14</v>
      </c>
      <c r="C2" s="37">
        <f>256839.47</f>
        <v>256839.47</v>
      </c>
      <c r="D2" s="38"/>
      <c r="E2" s="38">
        <f>+C2-D2</f>
        <v>256839.47</v>
      </c>
    </row>
    <row r="3" spans="1:5">
      <c r="A3" s="35">
        <v>1001</v>
      </c>
      <c r="B3" s="36" t="s">
        <v>16</v>
      </c>
      <c r="C3" s="37">
        <f>49880.18</f>
        <v>49880.18</v>
      </c>
      <c r="D3" s="38"/>
      <c r="E3" s="38">
        <f t="shared" ref="E3:E50" si="0">+C3-D3</f>
        <v>49880.18</v>
      </c>
    </row>
    <row r="4" spans="1:5" s="34" customFormat="1">
      <c r="A4" s="35">
        <v>1100</v>
      </c>
      <c r="B4" s="36" t="s">
        <v>17</v>
      </c>
      <c r="C4" s="37">
        <f>380276.77</f>
        <v>380276.77</v>
      </c>
      <c r="D4" s="38"/>
      <c r="E4" s="38">
        <f t="shared" si="0"/>
        <v>380276.77</v>
      </c>
    </row>
    <row r="5" spans="1:5">
      <c r="A5" s="35">
        <v>1010</v>
      </c>
      <c r="B5" s="36" t="s">
        <v>85</v>
      </c>
      <c r="C5" s="37">
        <f>0</f>
        <v>0</v>
      </c>
      <c r="D5" s="38"/>
      <c r="E5" s="38">
        <f t="shared" si="0"/>
        <v>0</v>
      </c>
    </row>
    <row r="6" spans="1:5">
      <c r="A6" s="35">
        <v>1040</v>
      </c>
      <c r="B6" s="36" t="s">
        <v>86</v>
      </c>
      <c r="C6" s="37">
        <f>199180.62</f>
        <v>199180.62</v>
      </c>
      <c r="D6" s="38"/>
      <c r="E6" s="38">
        <f t="shared" si="0"/>
        <v>199180.62</v>
      </c>
    </row>
    <row r="7" spans="1:5" s="34" customFormat="1">
      <c r="A7" s="35">
        <v>1050</v>
      </c>
      <c r="B7" s="36" t="s">
        <v>87</v>
      </c>
      <c r="C7" s="37">
        <f>4285.22</f>
        <v>4285.22</v>
      </c>
      <c r="D7" s="38"/>
      <c r="E7" s="38">
        <f t="shared" si="0"/>
        <v>4285.22</v>
      </c>
    </row>
    <row r="8" spans="1:5">
      <c r="A8" s="35">
        <v>1300.1099999999999</v>
      </c>
      <c r="B8" s="36" t="s">
        <v>19</v>
      </c>
      <c r="C8" s="37">
        <f>72500</f>
        <v>72500</v>
      </c>
      <c r="D8" s="38"/>
      <c r="E8" s="38">
        <f t="shared" si="0"/>
        <v>72500</v>
      </c>
    </row>
    <row r="9" spans="1:5">
      <c r="A9" s="35">
        <v>1300.1199999999999</v>
      </c>
      <c r="B9" s="36" t="s">
        <v>88</v>
      </c>
      <c r="C9" s="38"/>
      <c r="D9" s="37">
        <f>9666.66</f>
        <v>9666.66</v>
      </c>
      <c r="E9" s="38">
        <f t="shared" si="0"/>
        <v>-9666.66</v>
      </c>
    </row>
    <row r="10" spans="1:5">
      <c r="A10" s="35">
        <v>1300.21</v>
      </c>
      <c r="B10" s="36" t="s">
        <v>21</v>
      </c>
      <c r="C10" s="37">
        <f>148019</f>
        <v>148019</v>
      </c>
      <c r="D10" s="38"/>
      <c r="E10" s="38">
        <f t="shared" si="0"/>
        <v>148019</v>
      </c>
    </row>
    <row r="11" spans="1:5">
      <c r="A11" s="35">
        <v>1300.22</v>
      </c>
      <c r="B11" s="36" t="s">
        <v>89</v>
      </c>
      <c r="C11" s="38"/>
      <c r="D11" s="37">
        <f>19735.86</f>
        <v>19735.86</v>
      </c>
      <c r="E11" s="38">
        <f t="shared" si="0"/>
        <v>-19735.86</v>
      </c>
    </row>
    <row r="12" spans="1:5">
      <c r="A12" s="35">
        <v>1300.31</v>
      </c>
      <c r="B12" s="36" t="s">
        <v>22</v>
      </c>
      <c r="C12" s="37">
        <f>2640</f>
        <v>2640</v>
      </c>
      <c r="D12" s="38"/>
      <c r="E12" s="38">
        <f t="shared" si="0"/>
        <v>2640</v>
      </c>
    </row>
    <row r="13" spans="1:5">
      <c r="A13" s="35">
        <v>1300.32</v>
      </c>
      <c r="B13" s="36" t="s">
        <v>90</v>
      </c>
      <c r="C13" s="38"/>
      <c r="D13" s="37">
        <f>352</f>
        <v>352</v>
      </c>
      <c r="E13" s="38">
        <f t="shared" si="0"/>
        <v>-352</v>
      </c>
    </row>
    <row r="14" spans="1:5" ht="30">
      <c r="A14" s="35">
        <v>1300.4100000000001</v>
      </c>
      <c r="B14" s="36" t="s">
        <v>23</v>
      </c>
      <c r="C14" s="37">
        <f>27497</f>
        <v>27497</v>
      </c>
      <c r="D14" s="38"/>
      <c r="E14" s="38">
        <f t="shared" si="0"/>
        <v>27497</v>
      </c>
    </row>
    <row r="15" spans="1:5" ht="30">
      <c r="A15" s="35">
        <v>1300.42</v>
      </c>
      <c r="B15" s="36" t="s">
        <v>91</v>
      </c>
      <c r="C15" s="38"/>
      <c r="D15" s="37">
        <f>3666.28</f>
        <v>3666.28</v>
      </c>
      <c r="E15" s="38">
        <f t="shared" si="0"/>
        <v>-3666.28</v>
      </c>
    </row>
    <row r="16" spans="1:5" s="34" customFormat="1">
      <c r="A16" s="35">
        <v>1060</v>
      </c>
      <c r="B16" s="36" t="s">
        <v>24</v>
      </c>
      <c r="C16" s="37">
        <f>3103.65</f>
        <v>3103.65</v>
      </c>
      <c r="D16" s="38"/>
      <c r="E16" s="38">
        <f t="shared" si="0"/>
        <v>3103.65</v>
      </c>
    </row>
    <row r="17" spans="1:5" s="34" customFormat="1">
      <c r="A17" s="35">
        <v>2000</v>
      </c>
      <c r="B17" s="36" t="s">
        <v>26</v>
      </c>
      <c r="C17" s="38"/>
      <c r="D17" s="37">
        <f>140422.17</f>
        <v>140422.17000000001</v>
      </c>
      <c r="E17" s="38">
        <f t="shared" si="0"/>
        <v>-140422.17000000001</v>
      </c>
    </row>
    <row r="18" spans="1:5" s="34" customFormat="1">
      <c r="A18" s="35">
        <v>2030</v>
      </c>
      <c r="B18" s="36" t="s">
        <v>28</v>
      </c>
      <c r="C18" s="38"/>
      <c r="D18" s="37">
        <f>0</f>
        <v>0</v>
      </c>
      <c r="E18" s="38">
        <f t="shared" si="0"/>
        <v>0</v>
      </c>
    </row>
    <row r="19" spans="1:5" s="34" customFormat="1">
      <c r="A19" s="35">
        <v>2170</v>
      </c>
      <c r="B19" s="36" t="s">
        <v>29</v>
      </c>
      <c r="C19" s="38"/>
      <c r="D19" s="37">
        <f>41590.89</f>
        <v>41590.89</v>
      </c>
      <c r="E19" s="38">
        <f t="shared" si="0"/>
        <v>-41590.89</v>
      </c>
    </row>
    <row r="20" spans="1:5">
      <c r="A20" s="35">
        <v>2171</v>
      </c>
      <c r="B20" s="36" t="s">
        <v>31</v>
      </c>
      <c r="C20" s="38"/>
      <c r="D20" s="37">
        <f>238.16</f>
        <v>238.16</v>
      </c>
      <c r="E20" s="38">
        <f t="shared" si="0"/>
        <v>-238.16</v>
      </c>
    </row>
    <row r="21" spans="1:5">
      <c r="A21" s="35">
        <v>2020</v>
      </c>
      <c r="B21" s="36" t="s">
        <v>33</v>
      </c>
      <c r="C21" s="38"/>
      <c r="D21" s="37">
        <f>200000</f>
        <v>200000</v>
      </c>
      <c r="E21" s="38">
        <f t="shared" si="0"/>
        <v>-200000</v>
      </c>
    </row>
    <row r="22" spans="1:5">
      <c r="A22" s="35">
        <v>3010</v>
      </c>
      <c r="B22" s="10" t="s">
        <v>35</v>
      </c>
      <c r="C22" s="19"/>
      <c r="D22" s="18">
        <f>557739.9</f>
        <v>557739.9</v>
      </c>
      <c r="E22" s="38">
        <f t="shared" si="0"/>
        <v>-557739.9</v>
      </c>
    </row>
    <row r="23" spans="1:5">
      <c r="A23" s="35">
        <v>4101</v>
      </c>
      <c r="B23" s="10" t="s">
        <v>37</v>
      </c>
      <c r="C23" s="19"/>
      <c r="D23" s="18">
        <f>2733411.02</f>
        <v>2733411.02</v>
      </c>
      <c r="E23" s="38">
        <f t="shared" si="0"/>
        <v>-2733411.02</v>
      </c>
    </row>
    <row r="24" spans="1:5">
      <c r="A24" s="35">
        <v>4102</v>
      </c>
      <c r="B24" s="10" t="s">
        <v>92</v>
      </c>
      <c r="C24" s="19"/>
      <c r="D24" s="18">
        <f>14880.18</f>
        <v>14880.18</v>
      </c>
      <c r="E24" s="38">
        <f t="shared" si="0"/>
        <v>-14880.18</v>
      </c>
    </row>
    <row r="25" spans="1:5">
      <c r="A25" s="35">
        <v>5999</v>
      </c>
      <c r="B25" s="10" t="s">
        <v>93</v>
      </c>
      <c r="C25" s="19"/>
      <c r="D25" s="18">
        <f>2872.31</f>
        <v>2872.31</v>
      </c>
      <c r="E25" s="38">
        <f t="shared" si="0"/>
        <v>-2872.31</v>
      </c>
    </row>
    <row r="26" spans="1:5">
      <c r="A26" s="35">
        <v>6010</v>
      </c>
      <c r="B26" s="10" t="s">
        <v>94</v>
      </c>
      <c r="C26" s="18">
        <f>984</f>
        <v>984</v>
      </c>
      <c r="D26" s="19"/>
      <c r="E26" s="38">
        <f t="shared" si="0"/>
        <v>984</v>
      </c>
    </row>
    <row r="27" spans="1:5">
      <c r="A27" s="35">
        <v>6180</v>
      </c>
      <c r="B27" s="10" t="s">
        <v>44</v>
      </c>
      <c r="C27" s="18">
        <f>144514.25</f>
        <v>144514.25</v>
      </c>
      <c r="D27" s="19"/>
      <c r="E27" s="38">
        <f t="shared" si="0"/>
        <v>144514.25</v>
      </c>
    </row>
    <row r="28" spans="1:5">
      <c r="A28" s="35">
        <v>6135</v>
      </c>
      <c r="B28" s="10" t="s">
        <v>48</v>
      </c>
      <c r="C28" s="18">
        <f>30902.05</f>
        <v>30902.05</v>
      </c>
      <c r="D28" s="19"/>
      <c r="E28" s="38">
        <f t="shared" si="0"/>
        <v>30902.05</v>
      </c>
    </row>
    <row r="29" spans="1:5">
      <c r="A29" s="35">
        <v>5511</v>
      </c>
      <c r="B29" s="10" t="s">
        <v>50</v>
      </c>
      <c r="C29" s="18">
        <f>120503.46</f>
        <v>120503.46</v>
      </c>
      <c r="D29" s="19"/>
      <c r="E29" s="38">
        <f t="shared" si="0"/>
        <v>120503.46</v>
      </c>
    </row>
    <row r="30" spans="1:5">
      <c r="A30" s="35">
        <v>5512</v>
      </c>
      <c r="B30" s="10" t="s">
        <v>52</v>
      </c>
      <c r="C30" s="18">
        <f>261756.7</f>
        <v>261756.7</v>
      </c>
      <c r="D30" s="19"/>
      <c r="E30" s="38">
        <f t="shared" si="0"/>
        <v>261756.7</v>
      </c>
    </row>
    <row r="31" spans="1:5">
      <c r="A31" s="35">
        <v>5515</v>
      </c>
      <c r="B31" s="10" t="s">
        <v>53</v>
      </c>
      <c r="C31" s="18">
        <f>42285.43</f>
        <v>42285.43</v>
      </c>
      <c r="D31" s="19"/>
      <c r="E31" s="38">
        <f t="shared" si="0"/>
        <v>42285.43</v>
      </c>
    </row>
    <row r="32" spans="1:5">
      <c r="A32" s="35">
        <v>5516</v>
      </c>
      <c r="B32" s="10" t="s">
        <v>54</v>
      </c>
      <c r="C32" s="18">
        <f>65121.72</f>
        <v>65121.72</v>
      </c>
      <c r="D32" s="19"/>
      <c r="E32" s="38">
        <f t="shared" si="0"/>
        <v>65121.72</v>
      </c>
    </row>
    <row r="33" spans="1:5">
      <c r="A33" s="35">
        <v>5518</v>
      </c>
      <c r="B33" s="10" t="s">
        <v>56</v>
      </c>
      <c r="C33" s="19"/>
      <c r="D33" s="18">
        <f>1944.14</f>
        <v>1944.14</v>
      </c>
      <c r="E33" s="38">
        <f t="shared" si="0"/>
        <v>-1944.14</v>
      </c>
    </row>
    <row r="34" spans="1:5">
      <c r="A34" s="35">
        <v>6021</v>
      </c>
      <c r="B34" s="10" t="s">
        <v>57</v>
      </c>
      <c r="C34" s="18">
        <f>45343.55</f>
        <v>45343.55</v>
      </c>
      <c r="D34" s="19"/>
      <c r="E34" s="38">
        <f t="shared" si="0"/>
        <v>45343.55</v>
      </c>
    </row>
    <row r="35" spans="1:5">
      <c r="A35" s="35">
        <v>6022</v>
      </c>
      <c r="B35" s="10" t="s">
        <v>58</v>
      </c>
      <c r="C35" s="18">
        <f>225.27</f>
        <v>225.27</v>
      </c>
      <c r="D35" s="19"/>
      <c r="E35" s="38">
        <f t="shared" si="0"/>
        <v>225.27</v>
      </c>
    </row>
    <row r="36" spans="1:5">
      <c r="A36" s="35">
        <v>6221</v>
      </c>
      <c r="B36" s="10" t="s">
        <v>60</v>
      </c>
      <c r="C36" s="18">
        <f>64963.06</f>
        <v>64963.06</v>
      </c>
      <c r="D36" s="19"/>
      <c r="E36" s="38">
        <f t="shared" si="0"/>
        <v>64963.06</v>
      </c>
    </row>
    <row r="37" spans="1:5">
      <c r="A37" s="35">
        <v>6091</v>
      </c>
      <c r="B37" s="10" t="s">
        <v>61</v>
      </c>
      <c r="C37" s="18">
        <f>39880.24</f>
        <v>39880.239999999998</v>
      </c>
      <c r="D37" s="19"/>
      <c r="E37" s="38">
        <f t="shared" si="0"/>
        <v>39880.239999999998</v>
      </c>
    </row>
    <row r="38" spans="1:5">
      <c r="A38" s="35">
        <v>6181</v>
      </c>
      <c r="B38" s="10" t="s">
        <v>63</v>
      </c>
      <c r="C38" s="18">
        <f>15200</f>
        <v>15200</v>
      </c>
      <c r="D38" s="19"/>
      <c r="E38" s="38">
        <f t="shared" si="0"/>
        <v>15200</v>
      </c>
    </row>
    <row r="39" spans="1:5">
      <c r="A39" s="35">
        <v>6183</v>
      </c>
      <c r="B39" s="10" t="s">
        <v>64</v>
      </c>
      <c r="C39" s="18">
        <f>880</f>
        <v>880</v>
      </c>
      <c r="D39" s="19"/>
      <c r="E39" s="38">
        <f t="shared" si="0"/>
        <v>880</v>
      </c>
    </row>
    <row r="40" spans="1:5">
      <c r="A40" s="35">
        <v>6187</v>
      </c>
      <c r="B40" s="11" t="s">
        <v>65</v>
      </c>
      <c r="C40" s="18">
        <f>118656</f>
        <v>118656</v>
      </c>
      <c r="D40" s="19"/>
      <c r="E40" s="38">
        <f t="shared" si="0"/>
        <v>118656</v>
      </c>
    </row>
    <row r="41" spans="1:5">
      <c r="A41" s="35">
        <v>6170</v>
      </c>
      <c r="B41" s="10" t="s">
        <v>66</v>
      </c>
      <c r="C41" s="18">
        <f>809.26</f>
        <v>809.26</v>
      </c>
      <c r="D41" s="19"/>
      <c r="E41" s="38">
        <f t="shared" si="0"/>
        <v>809.26</v>
      </c>
    </row>
    <row r="42" spans="1:5">
      <c r="A42" s="35">
        <v>6224</v>
      </c>
      <c r="B42" s="10" t="s">
        <v>69</v>
      </c>
      <c r="C42" s="18">
        <f>3949</f>
        <v>3949</v>
      </c>
      <c r="D42" s="19"/>
      <c r="E42" s="38">
        <f t="shared" si="0"/>
        <v>3949</v>
      </c>
    </row>
    <row r="43" spans="1:5">
      <c r="A43" s="35">
        <v>6228</v>
      </c>
      <c r="B43" s="10" t="s">
        <v>70</v>
      </c>
      <c r="C43" s="18">
        <f>1239.33</f>
        <v>1239.33</v>
      </c>
      <c r="D43" s="19"/>
      <c r="E43" s="38">
        <f t="shared" si="0"/>
        <v>1239.33</v>
      </c>
    </row>
    <row r="44" spans="1:5">
      <c r="A44" s="35">
        <v>5223</v>
      </c>
      <c r="B44" s="10" t="s">
        <v>71</v>
      </c>
      <c r="C44" s="18">
        <f>1575209.22</f>
        <v>1575209.22</v>
      </c>
      <c r="D44" s="19"/>
      <c r="E44" s="38">
        <f t="shared" si="0"/>
        <v>1575209.22</v>
      </c>
    </row>
    <row r="45" spans="1:5">
      <c r="A45" s="35">
        <v>6200</v>
      </c>
      <c r="B45" s="10" t="s">
        <v>73</v>
      </c>
      <c r="C45" s="18">
        <f>21629.25</f>
        <v>21629.25</v>
      </c>
      <c r="D45" s="19"/>
      <c r="E45" s="38">
        <f t="shared" si="0"/>
        <v>21629.25</v>
      </c>
    </row>
    <row r="46" spans="1:5">
      <c r="A46" s="35">
        <v>6160</v>
      </c>
      <c r="B46" s="10" t="s">
        <v>75</v>
      </c>
      <c r="C46" s="18">
        <f>10145.74</f>
        <v>10145.74</v>
      </c>
      <c r="D46" s="19"/>
      <c r="E46" s="38">
        <f t="shared" si="0"/>
        <v>10145.74</v>
      </c>
    </row>
    <row r="47" spans="1:5">
      <c r="A47" s="35">
        <v>6242</v>
      </c>
      <c r="B47" s="10" t="s">
        <v>77</v>
      </c>
      <c r="C47" s="18">
        <f>631.24</f>
        <v>631.24</v>
      </c>
      <c r="D47" s="19"/>
      <c r="E47" s="38">
        <f t="shared" si="0"/>
        <v>631.24</v>
      </c>
    </row>
    <row r="48" spans="1:5">
      <c r="A48" s="35">
        <v>6248</v>
      </c>
      <c r="B48" s="10" t="s">
        <v>78</v>
      </c>
      <c r="C48" s="18">
        <f>458.49</f>
        <v>458.49</v>
      </c>
      <c r="D48" s="19"/>
      <c r="E48" s="38">
        <f t="shared" si="0"/>
        <v>458.49</v>
      </c>
    </row>
    <row r="49" spans="1:5">
      <c r="A49" s="35">
        <v>6238</v>
      </c>
      <c r="B49" s="10" t="s">
        <v>79</v>
      </c>
      <c r="C49" s="18">
        <f>300</f>
        <v>300</v>
      </c>
      <c r="D49" s="19"/>
      <c r="E49" s="38">
        <f t="shared" si="0"/>
        <v>300</v>
      </c>
    </row>
    <row r="50" spans="1:5" ht="15.75" thickBot="1">
      <c r="A50" s="43">
        <v>6201</v>
      </c>
      <c r="B50" s="12" t="s">
        <v>95</v>
      </c>
      <c r="C50" s="21">
        <f>16710.4</f>
        <v>16710.400000000001</v>
      </c>
      <c r="D50" s="22"/>
      <c r="E50" s="44">
        <f t="shared" si="0"/>
        <v>16710.400000000001</v>
      </c>
    </row>
  </sheetData>
  <autoFilter ref="A1:E50" xr:uid="{00000000-0009-0000-0000-000001000000}"/>
  <pageMargins left="0.7" right="0.7" top="0.75" bottom="0.75" header="0.3" footer="0.3"/>
  <pageSetup orientation="portrait" r:id="rId1"/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Eda Wei</dc:creator>
  <cp:keywords/>
  <dc:description/>
  <cp:lastModifiedBy>Piyush Soni</cp:lastModifiedBy>
  <cp:revision/>
  <dcterms:created xsi:type="dcterms:W3CDTF">2023-12-14T23:42:26Z</dcterms:created>
  <dcterms:modified xsi:type="dcterms:W3CDTF">2025-10-01T05:26:10Z</dcterms:modified>
  <cp:category/>
  <cp:contentStatus/>
</cp:coreProperties>
</file>